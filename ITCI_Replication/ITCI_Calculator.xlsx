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tha\Downloads\ITCI_Replication\"/>
    </mc:Choice>
  </mc:AlternateContent>
  <xr:revisionPtr revIDLastSave="0" documentId="13_ncr:1_{B956A349-CDAC-4F5B-BC52-1A3A8247E2DD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README" sheetId="1" r:id="rId1"/>
    <sheet name="RawData" sheetId="2" r:id="rId2"/>
    <sheet name="AbsValues" sheetId="3" r:id="rId3"/>
    <sheet name="ZScores" sheetId="4" r:id="rId4"/>
    <sheet name="Subcategories" sheetId="5" r:id="rId5"/>
    <sheet name="SubcategoriesScored" sheetId="6" r:id="rId6"/>
    <sheet name="Categories" sheetId="7" r:id="rId7"/>
    <sheet name="CategoriesScored" sheetId="8" r:id="rId8"/>
    <sheet name="Results" sheetId="9" r:id="rId9"/>
  </sheets>
  <calcPr calcId="191029"/>
</workbook>
</file>

<file path=xl/calcChain.xml><?xml version="1.0" encoding="utf-8"?>
<calcChain xmlns="http://schemas.openxmlformats.org/spreadsheetml/2006/main">
  <c r="A42" i="9" l="1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40" i="5"/>
  <c r="A39" i="5"/>
  <c r="J38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Q41" i="4"/>
  <c r="AP41" i="4"/>
  <c r="AO41" i="4"/>
  <c r="P40" i="5" s="1"/>
  <c r="AN41" i="4"/>
  <c r="O40" i="5" s="1"/>
  <c r="AM41" i="4"/>
  <c r="AL41" i="4"/>
  <c r="AK41" i="4"/>
  <c r="N40" i="5" s="1"/>
  <c r="AJ41" i="4"/>
  <c r="AI41" i="4"/>
  <c r="AH41" i="4"/>
  <c r="M40" i="5" s="1"/>
  <c r="AG41" i="4"/>
  <c r="AF41" i="4"/>
  <c r="AE41" i="4"/>
  <c r="AD41" i="4"/>
  <c r="L40" i="5" s="1"/>
  <c r="AC41" i="4"/>
  <c r="AB41" i="4"/>
  <c r="K40" i="5" s="1"/>
  <c r="AA41" i="4"/>
  <c r="Z41" i="4"/>
  <c r="J40" i="5" s="1"/>
  <c r="Y41" i="4"/>
  <c r="X41" i="4"/>
  <c r="I40" i="5" s="1"/>
  <c r="W41" i="4"/>
  <c r="H40" i="5" s="1"/>
  <c r="V41" i="4"/>
  <c r="U41" i="4"/>
  <c r="G40" i="5" s="1"/>
  <c r="S41" i="4"/>
  <c r="F40" i="5" s="1"/>
  <c r="R41" i="4"/>
  <c r="Q41" i="4"/>
  <c r="P41" i="4"/>
  <c r="E40" i="5" s="1"/>
  <c r="N41" i="4"/>
  <c r="M41" i="4"/>
  <c r="L41" i="4"/>
  <c r="K41" i="4"/>
  <c r="J41" i="4"/>
  <c r="I41" i="4"/>
  <c r="H41" i="4"/>
  <c r="G41" i="4"/>
  <c r="F41" i="4"/>
  <c r="E41" i="4"/>
  <c r="D41" i="4"/>
  <c r="C41" i="4"/>
  <c r="C40" i="5" s="1"/>
  <c r="B41" i="4"/>
  <c r="B40" i="5" s="1"/>
  <c r="A41" i="4"/>
  <c r="AQ40" i="4"/>
  <c r="AP40" i="4"/>
  <c r="AO40" i="4"/>
  <c r="P39" i="5" s="1"/>
  <c r="AN40" i="4"/>
  <c r="O39" i="5" s="1"/>
  <c r="AM40" i="4"/>
  <c r="AL40" i="4"/>
  <c r="AK40" i="4"/>
  <c r="N39" i="5" s="1"/>
  <c r="AJ40" i="4"/>
  <c r="AI40" i="4"/>
  <c r="AH40" i="4"/>
  <c r="M39" i="5" s="1"/>
  <c r="AG40" i="4"/>
  <c r="AF40" i="4"/>
  <c r="AE40" i="4"/>
  <c r="AD40" i="4"/>
  <c r="L39" i="5" s="1"/>
  <c r="AC40" i="4"/>
  <c r="AB40" i="4"/>
  <c r="K39" i="5" s="1"/>
  <c r="AA40" i="4"/>
  <c r="Z40" i="4"/>
  <c r="J39" i="5" s="1"/>
  <c r="Y40" i="4"/>
  <c r="X40" i="4"/>
  <c r="I39" i="5" s="1"/>
  <c r="W40" i="4"/>
  <c r="H39" i="5" s="1"/>
  <c r="V40" i="4"/>
  <c r="U40" i="4"/>
  <c r="G39" i="5" s="1"/>
  <c r="S40" i="4"/>
  <c r="R40" i="4"/>
  <c r="Q40" i="4"/>
  <c r="P40" i="4"/>
  <c r="E39" i="5" s="1"/>
  <c r="N40" i="4"/>
  <c r="M40" i="4"/>
  <c r="L40" i="4"/>
  <c r="K40" i="4"/>
  <c r="J40" i="4"/>
  <c r="I40" i="4"/>
  <c r="H40" i="4"/>
  <c r="G40" i="4"/>
  <c r="F40" i="4"/>
  <c r="E40" i="4"/>
  <c r="D40" i="4"/>
  <c r="C40" i="4"/>
  <c r="C39" i="5" s="1"/>
  <c r="B40" i="4"/>
  <c r="B39" i="5" s="1"/>
  <c r="A40" i="4"/>
  <c r="AQ39" i="4"/>
  <c r="AP39" i="4"/>
  <c r="AO39" i="4"/>
  <c r="P38" i="5" s="1"/>
  <c r="AN39" i="4"/>
  <c r="O38" i="5" s="1"/>
  <c r="AM39" i="4"/>
  <c r="AL39" i="4"/>
  <c r="AK39" i="4"/>
  <c r="N38" i="5" s="1"/>
  <c r="AJ39" i="4"/>
  <c r="AI39" i="4"/>
  <c r="AH39" i="4"/>
  <c r="M38" i="5" s="1"/>
  <c r="AG39" i="4"/>
  <c r="AF39" i="4"/>
  <c r="AE39" i="4"/>
  <c r="AD39" i="4"/>
  <c r="L38" i="5" s="1"/>
  <c r="AC39" i="4"/>
  <c r="K38" i="5" s="1"/>
  <c r="AB39" i="4"/>
  <c r="AA39" i="4"/>
  <c r="Z39" i="4"/>
  <c r="Y39" i="4"/>
  <c r="X39" i="4"/>
  <c r="I38" i="5" s="1"/>
  <c r="W39" i="4"/>
  <c r="H38" i="5" s="1"/>
  <c r="V39" i="4"/>
  <c r="U39" i="4"/>
  <c r="G38" i="5" s="1"/>
  <c r="S39" i="4"/>
  <c r="F38" i="5" s="1"/>
  <c r="R39" i="4"/>
  <c r="Q39" i="4"/>
  <c r="P39" i="4"/>
  <c r="E38" i="5" s="1"/>
  <c r="N39" i="4"/>
  <c r="M39" i="4"/>
  <c r="L39" i="4"/>
  <c r="K39" i="4"/>
  <c r="J39" i="4"/>
  <c r="D38" i="5" s="1"/>
  <c r="I39" i="4"/>
  <c r="H39" i="4"/>
  <c r="G39" i="4"/>
  <c r="F39" i="4"/>
  <c r="E39" i="4"/>
  <c r="D39" i="4"/>
  <c r="C39" i="4"/>
  <c r="C38" i="5" s="1"/>
  <c r="B39" i="4"/>
  <c r="B38" i="5" s="1"/>
  <c r="A39" i="4"/>
  <c r="AQ38" i="4"/>
  <c r="AP38" i="4"/>
  <c r="AO38" i="4"/>
  <c r="P37" i="5" s="1"/>
  <c r="AN38" i="4"/>
  <c r="O37" i="5" s="1"/>
  <c r="AM38" i="4"/>
  <c r="AL38" i="4"/>
  <c r="AK38" i="4"/>
  <c r="N37" i="5" s="1"/>
  <c r="AJ38" i="4"/>
  <c r="AI38" i="4"/>
  <c r="AH38" i="4"/>
  <c r="M37" i="5" s="1"/>
  <c r="AG38" i="4"/>
  <c r="AF38" i="4"/>
  <c r="AE38" i="4"/>
  <c r="AD38" i="4"/>
  <c r="L37" i="5" s="1"/>
  <c r="AC38" i="4"/>
  <c r="AB38" i="4"/>
  <c r="K37" i="5" s="1"/>
  <c r="AA38" i="4"/>
  <c r="Z38" i="4"/>
  <c r="J37" i="5" s="1"/>
  <c r="Y38" i="4"/>
  <c r="X38" i="4"/>
  <c r="I37" i="5" s="1"/>
  <c r="W38" i="4"/>
  <c r="H37" i="5" s="1"/>
  <c r="V38" i="4"/>
  <c r="U38" i="4"/>
  <c r="G37" i="5" s="1"/>
  <c r="S38" i="4"/>
  <c r="F37" i="5" s="1"/>
  <c r="R38" i="4"/>
  <c r="Q38" i="4"/>
  <c r="P38" i="4"/>
  <c r="E37" i="5" s="1"/>
  <c r="N38" i="4"/>
  <c r="M38" i="4"/>
  <c r="L38" i="4"/>
  <c r="K38" i="4"/>
  <c r="J38" i="4"/>
  <c r="D37" i="5" s="1"/>
  <c r="I38" i="4"/>
  <c r="H38" i="4"/>
  <c r="G38" i="4"/>
  <c r="F38" i="4"/>
  <c r="E38" i="4"/>
  <c r="D38" i="4"/>
  <c r="C38" i="4"/>
  <c r="C37" i="5" s="1"/>
  <c r="B38" i="4"/>
  <c r="B37" i="5" s="1"/>
  <c r="A38" i="4"/>
  <c r="AQ37" i="4"/>
  <c r="AP37" i="4"/>
  <c r="AO37" i="4"/>
  <c r="P36" i="5" s="1"/>
  <c r="AN37" i="4"/>
  <c r="O36" i="5" s="1"/>
  <c r="AM37" i="4"/>
  <c r="AL37" i="4"/>
  <c r="AK37" i="4"/>
  <c r="N36" i="5" s="1"/>
  <c r="AJ37" i="4"/>
  <c r="AI37" i="4"/>
  <c r="AH37" i="4"/>
  <c r="M36" i="5" s="1"/>
  <c r="AG37" i="4"/>
  <c r="AF37" i="4"/>
  <c r="AE37" i="4"/>
  <c r="AD37" i="4"/>
  <c r="L36" i="5" s="1"/>
  <c r="AC37" i="4"/>
  <c r="AB37" i="4"/>
  <c r="K36" i="5" s="1"/>
  <c r="AA37" i="4"/>
  <c r="Z37" i="4"/>
  <c r="J36" i="5" s="1"/>
  <c r="Y37" i="4"/>
  <c r="X37" i="4"/>
  <c r="I36" i="5" s="1"/>
  <c r="W37" i="4"/>
  <c r="H36" i="5" s="1"/>
  <c r="V37" i="4"/>
  <c r="U37" i="4"/>
  <c r="G36" i="5" s="1"/>
  <c r="S37" i="4"/>
  <c r="R37" i="4"/>
  <c r="Q37" i="4"/>
  <c r="P37" i="4"/>
  <c r="E36" i="5" s="1"/>
  <c r="N37" i="4"/>
  <c r="M37" i="4"/>
  <c r="L37" i="4"/>
  <c r="K37" i="4"/>
  <c r="J37" i="4"/>
  <c r="I37" i="4"/>
  <c r="H37" i="4"/>
  <c r="G37" i="4"/>
  <c r="F37" i="4"/>
  <c r="E37" i="4"/>
  <c r="D37" i="4"/>
  <c r="C37" i="4"/>
  <c r="C36" i="5" s="1"/>
  <c r="B37" i="4"/>
  <c r="B36" i="5" s="1"/>
  <c r="A37" i="4"/>
  <c r="AQ36" i="4"/>
  <c r="AP36" i="4"/>
  <c r="AO36" i="4"/>
  <c r="P35" i="5" s="1"/>
  <c r="AN36" i="4"/>
  <c r="O35" i="5" s="1"/>
  <c r="AM36" i="4"/>
  <c r="AL36" i="4"/>
  <c r="AK36" i="4"/>
  <c r="N35" i="5" s="1"/>
  <c r="AJ36" i="4"/>
  <c r="AI36" i="4"/>
  <c r="AH36" i="4"/>
  <c r="M35" i="5" s="1"/>
  <c r="AG36" i="4"/>
  <c r="AF36" i="4"/>
  <c r="AE36" i="4"/>
  <c r="AD36" i="4"/>
  <c r="L35" i="5" s="1"/>
  <c r="AC36" i="4"/>
  <c r="AB36" i="4"/>
  <c r="K35" i="5" s="1"/>
  <c r="AA36" i="4"/>
  <c r="Z36" i="4"/>
  <c r="J35" i="5" s="1"/>
  <c r="Y36" i="4"/>
  <c r="X36" i="4"/>
  <c r="I35" i="5" s="1"/>
  <c r="W36" i="4"/>
  <c r="H35" i="5" s="1"/>
  <c r="V36" i="4"/>
  <c r="U36" i="4"/>
  <c r="G35" i="5" s="1"/>
  <c r="S36" i="4"/>
  <c r="R36" i="4"/>
  <c r="Q36" i="4"/>
  <c r="P36" i="4"/>
  <c r="E35" i="5" s="1"/>
  <c r="N36" i="4"/>
  <c r="M36" i="4"/>
  <c r="L36" i="4"/>
  <c r="K36" i="4"/>
  <c r="J36" i="4"/>
  <c r="I36" i="4"/>
  <c r="H36" i="4"/>
  <c r="G36" i="4"/>
  <c r="F36" i="4"/>
  <c r="E36" i="4"/>
  <c r="D36" i="4"/>
  <c r="C36" i="4"/>
  <c r="C35" i="5" s="1"/>
  <c r="B36" i="4"/>
  <c r="B35" i="5" s="1"/>
  <c r="A36" i="4"/>
  <c r="AQ35" i="4"/>
  <c r="AP35" i="4"/>
  <c r="AO35" i="4"/>
  <c r="P34" i="5" s="1"/>
  <c r="AN35" i="4"/>
  <c r="O34" i="5" s="1"/>
  <c r="AM35" i="4"/>
  <c r="AL35" i="4"/>
  <c r="AK35" i="4"/>
  <c r="N34" i="5" s="1"/>
  <c r="AJ35" i="4"/>
  <c r="AI35" i="4"/>
  <c r="AH35" i="4"/>
  <c r="M34" i="5" s="1"/>
  <c r="AG35" i="4"/>
  <c r="AF35" i="4"/>
  <c r="AE35" i="4"/>
  <c r="AD35" i="4"/>
  <c r="L34" i="5" s="1"/>
  <c r="AC35" i="4"/>
  <c r="AB35" i="4"/>
  <c r="K34" i="5" s="1"/>
  <c r="AA35" i="4"/>
  <c r="Z35" i="4"/>
  <c r="J34" i="5" s="1"/>
  <c r="Y35" i="4"/>
  <c r="X35" i="4"/>
  <c r="I34" i="5" s="1"/>
  <c r="W35" i="4"/>
  <c r="H34" i="5" s="1"/>
  <c r="V35" i="4"/>
  <c r="U35" i="4"/>
  <c r="G34" i="5" s="1"/>
  <c r="S35" i="4"/>
  <c r="R35" i="4"/>
  <c r="Q35" i="4"/>
  <c r="P35" i="4"/>
  <c r="E34" i="5" s="1"/>
  <c r="N35" i="4"/>
  <c r="M35" i="4"/>
  <c r="L35" i="4"/>
  <c r="K35" i="4"/>
  <c r="J35" i="4"/>
  <c r="I35" i="4"/>
  <c r="H35" i="4"/>
  <c r="G35" i="4"/>
  <c r="F35" i="4"/>
  <c r="E35" i="4"/>
  <c r="D35" i="4"/>
  <c r="C35" i="4"/>
  <c r="C34" i="5" s="1"/>
  <c r="B35" i="4"/>
  <c r="B34" i="5" s="1"/>
  <c r="A35" i="4"/>
  <c r="AQ34" i="4"/>
  <c r="AP34" i="4"/>
  <c r="AO34" i="4"/>
  <c r="P33" i="5" s="1"/>
  <c r="AN34" i="4"/>
  <c r="O33" i="5" s="1"/>
  <c r="AM34" i="4"/>
  <c r="AL34" i="4"/>
  <c r="AK34" i="4"/>
  <c r="N33" i="5" s="1"/>
  <c r="AJ34" i="4"/>
  <c r="AI34" i="4"/>
  <c r="AH34" i="4"/>
  <c r="M33" i="5" s="1"/>
  <c r="AG34" i="4"/>
  <c r="AF34" i="4"/>
  <c r="AE34" i="4"/>
  <c r="AD34" i="4"/>
  <c r="L33" i="5" s="1"/>
  <c r="AC34" i="4"/>
  <c r="AB34" i="4"/>
  <c r="K33" i="5" s="1"/>
  <c r="AA34" i="4"/>
  <c r="Z34" i="4"/>
  <c r="J33" i="5" s="1"/>
  <c r="Y34" i="4"/>
  <c r="X34" i="4"/>
  <c r="I33" i="5" s="1"/>
  <c r="W34" i="4"/>
  <c r="H33" i="5" s="1"/>
  <c r="V34" i="4"/>
  <c r="U34" i="4"/>
  <c r="G33" i="5" s="1"/>
  <c r="S34" i="4"/>
  <c r="R34" i="4"/>
  <c r="Q34" i="4"/>
  <c r="P34" i="4"/>
  <c r="E33" i="5" s="1"/>
  <c r="N34" i="4"/>
  <c r="M34" i="4"/>
  <c r="L34" i="4"/>
  <c r="K34" i="4"/>
  <c r="J34" i="4"/>
  <c r="I34" i="4"/>
  <c r="H34" i="4"/>
  <c r="G34" i="4"/>
  <c r="F34" i="4"/>
  <c r="E34" i="4"/>
  <c r="D34" i="4"/>
  <c r="C34" i="4"/>
  <c r="C33" i="5" s="1"/>
  <c r="B34" i="4"/>
  <c r="B33" i="5" s="1"/>
  <c r="A34" i="4"/>
  <c r="AQ33" i="4"/>
  <c r="AP33" i="4"/>
  <c r="AO33" i="4"/>
  <c r="P32" i="5" s="1"/>
  <c r="AN33" i="4"/>
  <c r="O32" i="5" s="1"/>
  <c r="AM33" i="4"/>
  <c r="AL33" i="4"/>
  <c r="AK33" i="4"/>
  <c r="N32" i="5" s="1"/>
  <c r="AJ33" i="4"/>
  <c r="AI33" i="4"/>
  <c r="AH33" i="4"/>
  <c r="M32" i="5" s="1"/>
  <c r="AG33" i="4"/>
  <c r="AF33" i="4"/>
  <c r="AE33" i="4"/>
  <c r="AD33" i="4"/>
  <c r="L32" i="5" s="1"/>
  <c r="AC33" i="4"/>
  <c r="AB33" i="4"/>
  <c r="K32" i="5" s="1"/>
  <c r="AA33" i="4"/>
  <c r="Z33" i="4"/>
  <c r="J32" i="5" s="1"/>
  <c r="Y33" i="4"/>
  <c r="X33" i="4"/>
  <c r="I32" i="5" s="1"/>
  <c r="W33" i="4"/>
  <c r="H32" i="5" s="1"/>
  <c r="V33" i="4"/>
  <c r="U33" i="4"/>
  <c r="G32" i="5" s="1"/>
  <c r="S33" i="4"/>
  <c r="R33" i="4"/>
  <c r="Q33" i="4"/>
  <c r="P33" i="4"/>
  <c r="E32" i="5" s="1"/>
  <c r="N33" i="4"/>
  <c r="M33" i="4"/>
  <c r="L33" i="4"/>
  <c r="K33" i="4"/>
  <c r="J33" i="4"/>
  <c r="I33" i="4"/>
  <c r="H33" i="4"/>
  <c r="G33" i="4"/>
  <c r="F33" i="4"/>
  <c r="E33" i="4"/>
  <c r="D33" i="4"/>
  <c r="C33" i="4"/>
  <c r="C32" i="5" s="1"/>
  <c r="B33" i="4"/>
  <c r="B32" i="5" s="1"/>
  <c r="A33" i="4"/>
  <c r="AQ32" i="4"/>
  <c r="AP32" i="4"/>
  <c r="AO32" i="4"/>
  <c r="P31" i="5" s="1"/>
  <c r="AN32" i="4"/>
  <c r="O31" i="5" s="1"/>
  <c r="AM32" i="4"/>
  <c r="AL32" i="4"/>
  <c r="AK32" i="4"/>
  <c r="N31" i="5" s="1"/>
  <c r="AJ32" i="4"/>
  <c r="AI32" i="4"/>
  <c r="AH32" i="4"/>
  <c r="M31" i="5" s="1"/>
  <c r="AG32" i="4"/>
  <c r="AF32" i="4"/>
  <c r="AE32" i="4"/>
  <c r="AD32" i="4"/>
  <c r="L31" i="5" s="1"/>
  <c r="AC32" i="4"/>
  <c r="AB32" i="4"/>
  <c r="K31" i="5" s="1"/>
  <c r="AA32" i="4"/>
  <c r="Z32" i="4"/>
  <c r="J31" i="5" s="1"/>
  <c r="Y32" i="4"/>
  <c r="X32" i="4"/>
  <c r="I31" i="5" s="1"/>
  <c r="W32" i="4"/>
  <c r="H31" i="5" s="1"/>
  <c r="V32" i="4"/>
  <c r="U32" i="4"/>
  <c r="G31" i="5" s="1"/>
  <c r="S32" i="4"/>
  <c r="R32" i="4"/>
  <c r="Q32" i="4"/>
  <c r="P32" i="4"/>
  <c r="E31" i="5" s="1"/>
  <c r="N32" i="4"/>
  <c r="M32" i="4"/>
  <c r="L32" i="4"/>
  <c r="K32" i="4"/>
  <c r="J32" i="4"/>
  <c r="I32" i="4"/>
  <c r="H32" i="4"/>
  <c r="G32" i="4"/>
  <c r="F32" i="4"/>
  <c r="E32" i="4"/>
  <c r="D32" i="4"/>
  <c r="C32" i="4"/>
  <c r="C31" i="5" s="1"/>
  <c r="B32" i="4"/>
  <c r="B31" i="5" s="1"/>
  <c r="A32" i="4"/>
  <c r="AQ31" i="4"/>
  <c r="AP31" i="4"/>
  <c r="AO31" i="4"/>
  <c r="P30" i="5" s="1"/>
  <c r="AN31" i="4"/>
  <c r="O30" i="5" s="1"/>
  <c r="AM31" i="4"/>
  <c r="AL31" i="4"/>
  <c r="AK31" i="4"/>
  <c r="N30" i="5" s="1"/>
  <c r="AJ31" i="4"/>
  <c r="AI31" i="4"/>
  <c r="AH31" i="4"/>
  <c r="M30" i="5" s="1"/>
  <c r="AG31" i="4"/>
  <c r="AF31" i="4"/>
  <c r="AE31" i="4"/>
  <c r="AD31" i="4"/>
  <c r="L30" i="5" s="1"/>
  <c r="AC31" i="4"/>
  <c r="AB31" i="4"/>
  <c r="K30" i="5" s="1"/>
  <c r="AA31" i="4"/>
  <c r="Z31" i="4"/>
  <c r="J30" i="5" s="1"/>
  <c r="Y31" i="4"/>
  <c r="X31" i="4"/>
  <c r="I30" i="5" s="1"/>
  <c r="W31" i="4"/>
  <c r="H30" i="5" s="1"/>
  <c r="V31" i="4"/>
  <c r="U31" i="4"/>
  <c r="G30" i="5" s="1"/>
  <c r="S31" i="4"/>
  <c r="R31" i="4"/>
  <c r="Q31" i="4"/>
  <c r="P31" i="4"/>
  <c r="E30" i="5" s="1"/>
  <c r="N31" i="4"/>
  <c r="M31" i="4"/>
  <c r="L31" i="4"/>
  <c r="K31" i="4"/>
  <c r="J31" i="4"/>
  <c r="I31" i="4"/>
  <c r="H31" i="4"/>
  <c r="G31" i="4"/>
  <c r="F31" i="4"/>
  <c r="E31" i="4"/>
  <c r="D31" i="4"/>
  <c r="C31" i="4"/>
  <c r="C30" i="5" s="1"/>
  <c r="B31" i="4"/>
  <c r="B30" i="5" s="1"/>
  <c r="A31" i="4"/>
  <c r="AQ30" i="4"/>
  <c r="AP30" i="4"/>
  <c r="AO30" i="4"/>
  <c r="P29" i="5" s="1"/>
  <c r="AN30" i="4"/>
  <c r="O29" i="5" s="1"/>
  <c r="AM30" i="4"/>
  <c r="AL30" i="4"/>
  <c r="AK30" i="4"/>
  <c r="N29" i="5" s="1"/>
  <c r="AJ30" i="4"/>
  <c r="AI30" i="4"/>
  <c r="AH30" i="4"/>
  <c r="M29" i="5" s="1"/>
  <c r="AG30" i="4"/>
  <c r="AF30" i="4"/>
  <c r="AE30" i="4"/>
  <c r="AD30" i="4"/>
  <c r="L29" i="5" s="1"/>
  <c r="AC30" i="4"/>
  <c r="AB30" i="4"/>
  <c r="K29" i="5" s="1"/>
  <c r="AA30" i="4"/>
  <c r="Z30" i="4"/>
  <c r="J29" i="5" s="1"/>
  <c r="Y30" i="4"/>
  <c r="X30" i="4"/>
  <c r="I29" i="5" s="1"/>
  <c r="W30" i="4"/>
  <c r="H29" i="5" s="1"/>
  <c r="V30" i="4"/>
  <c r="U30" i="4"/>
  <c r="G29" i="5" s="1"/>
  <c r="S30" i="4"/>
  <c r="R30" i="4"/>
  <c r="Q30" i="4"/>
  <c r="P30" i="4"/>
  <c r="E29" i="5" s="1"/>
  <c r="N30" i="4"/>
  <c r="M30" i="4"/>
  <c r="L30" i="4"/>
  <c r="K30" i="4"/>
  <c r="J30" i="4"/>
  <c r="I30" i="4"/>
  <c r="H30" i="4"/>
  <c r="G30" i="4"/>
  <c r="F30" i="4"/>
  <c r="E30" i="4"/>
  <c r="D30" i="4"/>
  <c r="C30" i="4"/>
  <c r="C29" i="5" s="1"/>
  <c r="B30" i="4"/>
  <c r="B29" i="5" s="1"/>
  <c r="A30" i="4"/>
  <c r="AQ29" i="4"/>
  <c r="AP29" i="4"/>
  <c r="AO29" i="4"/>
  <c r="P28" i="5" s="1"/>
  <c r="AN29" i="4"/>
  <c r="O28" i="5" s="1"/>
  <c r="AM29" i="4"/>
  <c r="AL29" i="4"/>
  <c r="AK29" i="4"/>
  <c r="N28" i="5" s="1"/>
  <c r="AJ29" i="4"/>
  <c r="AI29" i="4"/>
  <c r="AH29" i="4"/>
  <c r="M28" i="5" s="1"/>
  <c r="AG29" i="4"/>
  <c r="AF29" i="4"/>
  <c r="AE29" i="4"/>
  <c r="AD29" i="4"/>
  <c r="L28" i="5" s="1"/>
  <c r="AC29" i="4"/>
  <c r="AB29" i="4"/>
  <c r="K28" i="5" s="1"/>
  <c r="AA29" i="4"/>
  <c r="Z29" i="4"/>
  <c r="J28" i="5" s="1"/>
  <c r="Y29" i="4"/>
  <c r="X29" i="4"/>
  <c r="I28" i="5" s="1"/>
  <c r="W29" i="4"/>
  <c r="H28" i="5" s="1"/>
  <c r="V29" i="4"/>
  <c r="U29" i="4"/>
  <c r="G28" i="5" s="1"/>
  <c r="S29" i="4"/>
  <c r="R29" i="4"/>
  <c r="Q29" i="4"/>
  <c r="P29" i="4"/>
  <c r="E28" i="5" s="1"/>
  <c r="N29" i="4"/>
  <c r="M29" i="4"/>
  <c r="L29" i="4"/>
  <c r="K29" i="4"/>
  <c r="J29" i="4"/>
  <c r="I29" i="4"/>
  <c r="H29" i="4"/>
  <c r="G29" i="4"/>
  <c r="F29" i="4"/>
  <c r="E29" i="4"/>
  <c r="D29" i="4"/>
  <c r="C29" i="4"/>
  <c r="C28" i="5" s="1"/>
  <c r="B29" i="4"/>
  <c r="B28" i="5" s="1"/>
  <c r="A29" i="4"/>
  <c r="AQ28" i="4"/>
  <c r="AP28" i="4"/>
  <c r="AO28" i="4"/>
  <c r="P27" i="5" s="1"/>
  <c r="AN28" i="4"/>
  <c r="O27" i="5" s="1"/>
  <c r="AM28" i="4"/>
  <c r="AL28" i="4"/>
  <c r="AK28" i="4"/>
  <c r="N27" i="5" s="1"/>
  <c r="AJ28" i="4"/>
  <c r="AI28" i="4"/>
  <c r="AH28" i="4"/>
  <c r="M27" i="5" s="1"/>
  <c r="AG28" i="4"/>
  <c r="AF28" i="4"/>
  <c r="AE28" i="4"/>
  <c r="AD28" i="4"/>
  <c r="L27" i="5" s="1"/>
  <c r="AC28" i="4"/>
  <c r="AB28" i="4"/>
  <c r="K27" i="5" s="1"/>
  <c r="AA28" i="4"/>
  <c r="Z28" i="4"/>
  <c r="J27" i="5" s="1"/>
  <c r="Y28" i="4"/>
  <c r="X28" i="4"/>
  <c r="I27" i="5" s="1"/>
  <c r="W28" i="4"/>
  <c r="H27" i="5" s="1"/>
  <c r="V28" i="4"/>
  <c r="U28" i="4"/>
  <c r="G27" i="5" s="1"/>
  <c r="S28" i="4"/>
  <c r="R28" i="4"/>
  <c r="Q28" i="4"/>
  <c r="P28" i="4"/>
  <c r="E27" i="5" s="1"/>
  <c r="N28" i="4"/>
  <c r="M28" i="4"/>
  <c r="L28" i="4"/>
  <c r="K28" i="4"/>
  <c r="J28" i="4"/>
  <c r="I28" i="4"/>
  <c r="H28" i="4"/>
  <c r="G28" i="4"/>
  <c r="F28" i="4"/>
  <c r="E28" i="4"/>
  <c r="D28" i="4"/>
  <c r="C28" i="4"/>
  <c r="C27" i="5" s="1"/>
  <c r="B28" i="4"/>
  <c r="B27" i="5" s="1"/>
  <c r="A28" i="4"/>
  <c r="AQ27" i="4"/>
  <c r="AP27" i="4"/>
  <c r="AO27" i="4"/>
  <c r="P26" i="5" s="1"/>
  <c r="AN27" i="4"/>
  <c r="O26" i="5" s="1"/>
  <c r="AM27" i="4"/>
  <c r="AL27" i="4"/>
  <c r="AK27" i="4"/>
  <c r="N26" i="5" s="1"/>
  <c r="AJ27" i="4"/>
  <c r="AI27" i="4"/>
  <c r="AH27" i="4"/>
  <c r="M26" i="5" s="1"/>
  <c r="AG27" i="4"/>
  <c r="AF27" i="4"/>
  <c r="AE27" i="4"/>
  <c r="AD27" i="4"/>
  <c r="L26" i="5" s="1"/>
  <c r="AC27" i="4"/>
  <c r="AB27" i="4"/>
  <c r="K26" i="5" s="1"/>
  <c r="AA27" i="4"/>
  <c r="Z27" i="4"/>
  <c r="J26" i="5" s="1"/>
  <c r="Y27" i="4"/>
  <c r="X27" i="4"/>
  <c r="I26" i="5" s="1"/>
  <c r="W27" i="4"/>
  <c r="H26" i="5" s="1"/>
  <c r="V27" i="4"/>
  <c r="U27" i="4"/>
  <c r="G26" i="5" s="1"/>
  <c r="S27" i="4"/>
  <c r="R27" i="4"/>
  <c r="Q27" i="4"/>
  <c r="P27" i="4"/>
  <c r="E26" i="5" s="1"/>
  <c r="N27" i="4"/>
  <c r="M27" i="4"/>
  <c r="L27" i="4"/>
  <c r="K27" i="4"/>
  <c r="J27" i="4"/>
  <c r="I27" i="4"/>
  <c r="H27" i="4"/>
  <c r="G27" i="4"/>
  <c r="F27" i="4"/>
  <c r="E27" i="4"/>
  <c r="D27" i="4"/>
  <c r="C27" i="4"/>
  <c r="C26" i="5" s="1"/>
  <c r="B27" i="4"/>
  <c r="B26" i="5" s="1"/>
  <c r="A27" i="4"/>
  <c r="AQ26" i="4"/>
  <c r="AP26" i="4"/>
  <c r="AO26" i="4"/>
  <c r="P25" i="5" s="1"/>
  <c r="AN26" i="4"/>
  <c r="O25" i="5" s="1"/>
  <c r="AM26" i="4"/>
  <c r="AL26" i="4"/>
  <c r="AK26" i="4"/>
  <c r="N25" i="5" s="1"/>
  <c r="AJ26" i="4"/>
  <c r="AI26" i="4"/>
  <c r="AH26" i="4"/>
  <c r="M25" i="5" s="1"/>
  <c r="AG26" i="4"/>
  <c r="AF26" i="4"/>
  <c r="AE26" i="4"/>
  <c r="AD26" i="4"/>
  <c r="L25" i="5" s="1"/>
  <c r="AC26" i="4"/>
  <c r="AB26" i="4"/>
  <c r="K25" i="5" s="1"/>
  <c r="AA26" i="4"/>
  <c r="Z26" i="4"/>
  <c r="J25" i="5" s="1"/>
  <c r="Y26" i="4"/>
  <c r="X26" i="4"/>
  <c r="I25" i="5" s="1"/>
  <c r="W26" i="4"/>
  <c r="H25" i="5" s="1"/>
  <c r="V26" i="4"/>
  <c r="U26" i="4"/>
  <c r="G25" i="5" s="1"/>
  <c r="S26" i="4"/>
  <c r="R26" i="4"/>
  <c r="Q26" i="4"/>
  <c r="P26" i="4"/>
  <c r="E25" i="5" s="1"/>
  <c r="N26" i="4"/>
  <c r="M26" i="4"/>
  <c r="L26" i="4"/>
  <c r="K26" i="4"/>
  <c r="J26" i="4"/>
  <c r="I26" i="4"/>
  <c r="H26" i="4"/>
  <c r="G26" i="4"/>
  <c r="F26" i="4"/>
  <c r="E26" i="4"/>
  <c r="D26" i="4"/>
  <c r="C26" i="4"/>
  <c r="C25" i="5" s="1"/>
  <c r="B26" i="4"/>
  <c r="B25" i="5" s="1"/>
  <c r="A26" i="4"/>
  <c r="AQ25" i="4"/>
  <c r="AP25" i="4"/>
  <c r="AO25" i="4"/>
  <c r="P24" i="5" s="1"/>
  <c r="AN25" i="4"/>
  <c r="O24" i="5" s="1"/>
  <c r="AM25" i="4"/>
  <c r="AL25" i="4"/>
  <c r="AK25" i="4"/>
  <c r="N24" i="5" s="1"/>
  <c r="AJ25" i="4"/>
  <c r="AI25" i="4"/>
  <c r="AH25" i="4"/>
  <c r="M24" i="5" s="1"/>
  <c r="AG25" i="4"/>
  <c r="AF25" i="4"/>
  <c r="AE25" i="4"/>
  <c r="AD25" i="4"/>
  <c r="L24" i="5" s="1"/>
  <c r="AC25" i="4"/>
  <c r="AB25" i="4"/>
  <c r="K24" i="5" s="1"/>
  <c r="AA25" i="4"/>
  <c r="Z25" i="4"/>
  <c r="J24" i="5" s="1"/>
  <c r="Y25" i="4"/>
  <c r="X25" i="4"/>
  <c r="I24" i="5" s="1"/>
  <c r="W25" i="4"/>
  <c r="H24" i="5" s="1"/>
  <c r="V25" i="4"/>
  <c r="U25" i="4"/>
  <c r="G24" i="5" s="1"/>
  <c r="S25" i="4"/>
  <c r="R25" i="4"/>
  <c r="Q25" i="4"/>
  <c r="P25" i="4"/>
  <c r="E24" i="5" s="1"/>
  <c r="N25" i="4"/>
  <c r="M25" i="4"/>
  <c r="L25" i="4"/>
  <c r="K25" i="4"/>
  <c r="J25" i="4"/>
  <c r="I25" i="4"/>
  <c r="H25" i="4"/>
  <c r="G25" i="4"/>
  <c r="F25" i="4"/>
  <c r="E25" i="4"/>
  <c r="D25" i="4"/>
  <c r="C25" i="4"/>
  <c r="C24" i="5" s="1"/>
  <c r="B25" i="4"/>
  <c r="B24" i="5" s="1"/>
  <c r="A25" i="4"/>
  <c r="AQ24" i="4"/>
  <c r="AP24" i="4"/>
  <c r="AO24" i="4"/>
  <c r="P23" i="5" s="1"/>
  <c r="AN24" i="4"/>
  <c r="O23" i="5" s="1"/>
  <c r="AM24" i="4"/>
  <c r="AL24" i="4"/>
  <c r="AK24" i="4"/>
  <c r="N23" i="5" s="1"/>
  <c r="AJ24" i="4"/>
  <c r="AI24" i="4"/>
  <c r="AH24" i="4"/>
  <c r="M23" i="5" s="1"/>
  <c r="AG24" i="4"/>
  <c r="AF24" i="4"/>
  <c r="AE24" i="4"/>
  <c r="AD24" i="4"/>
  <c r="L23" i="5" s="1"/>
  <c r="AC24" i="4"/>
  <c r="AB24" i="4"/>
  <c r="K23" i="5" s="1"/>
  <c r="AA24" i="4"/>
  <c r="Z24" i="4"/>
  <c r="J23" i="5" s="1"/>
  <c r="Y24" i="4"/>
  <c r="X24" i="4"/>
  <c r="I23" i="5" s="1"/>
  <c r="W24" i="4"/>
  <c r="H23" i="5" s="1"/>
  <c r="V24" i="4"/>
  <c r="U24" i="4"/>
  <c r="G23" i="5" s="1"/>
  <c r="S24" i="4"/>
  <c r="R24" i="4"/>
  <c r="Q24" i="4"/>
  <c r="P24" i="4"/>
  <c r="E23" i="5" s="1"/>
  <c r="N24" i="4"/>
  <c r="M24" i="4"/>
  <c r="L24" i="4"/>
  <c r="K24" i="4"/>
  <c r="J24" i="4"/>
  <c r="I24" i="4"/>
  <c r="H24" i="4"/>
  <c r="G24" i="4"/>
  <c r="F24" i="4"/>
  <c r="E24" i="4"/>
  <c r="D24" i="4"/>
  <c r="C24" i="4"/>
  <c r="C23" i="5" s="1"/>
  <c r="B24" i="4"/>
  <c r="B23" i="5" s="1"/>
  <c r="A24" i="4"/>
  <c r="AQ23" i="4"/>
  <c r="AP23" i="4"/>
  <c r="AO23" i="4"/>
  <c r="P22" i="5" s="1"/>
  <c r="AN23" i="4"/>
  <c r="O22" i="5" s="1"/>
  <c r="AM23" i="4"/>
  <c r="AL23" i="4"/>
  <c r="AK23" i="4"/>
  <c r="N22" i="5" s="1"/>
  <c r="AJ23" i="4"/>
  <c r="AI23" i="4"/>
  <c r="AH23" i="4"/>
  <c r="M22" i="5" s="1"/>
  <c r="AG23" i="4"/>
  <c r="AF23" i="4"/>
  <c r="AE23" i="4"/>
  <c r="AD23" i="4"/>
  <c r="L22" i="5" s="1"/>
  <c r="AC23" i="4"/>
  <c r="AB23" i="4"/>
  <c r="K22" i="5" s="1"/>
  <c r="AA23" i="4"/>
  <c r="Z23" i="4"/>
  <c r="J22" i="5" s="1"/>
  <c r="Y23" i="4"/>
  <c r="X23" i="4"/>
  <c r="I22" i="5" s="1"/>
  <c r="W23" i="4"/>
  <c r="H22" i="5" s="1"/>
  <c r="V23" i="4"/>
  <c r="U23" i="4"/>
  <c r="G22" i="5" s="1"/>
  <c r="S23" i="4"/>
  <c r="R23" i="4"/>
  <c r="Q23" i="4"/>
  <c r="P23" i="4"/>
  <c r="E22" i="5" s="1"/>
  <c r="N23" i="4"/>
  <c r="M23" i="4"/>
  <c r="L23" i="4"/>
  <c r="K23" i="4"/>
  <c r="J23" i="4"/>
  <c r="I23" i="4"/>
  <c r="H23" i="4"/>
  <c r="G23" i="4"/>
  <c r="F23" i="4"/>
  <c r="E23" i="4"/>
  <c r="D23" i="4"/>
  <c r="C23" i="4"/>
  <c r="C22" i="5" s="1"/>
  <c r="B23" i="4"/>
  <c r="B22" i="5" s="1"/>
  <c r="A23" i="4"/>
  <c r="AQ22" i="4"/>
  <c r="AP22" i="4"/>
  <c r="AO22" i="4"/>
  <c r="P21" i="5" s="1"/>
  <c r="AN22" i="4"/>
  <c r="O21" i="5" s="1"/>
  <c r="AM22" i="4"/>
  <c r="AL22" i="4"/>
  <c r="AK22" i="4"/>
  <c r="N21" i="5" s="1"/>
  <c r="AJ22" i="4"/>
  <c r="AI22" i="4"/>
  <c r="AH22" i="4"/>
  <c r="M21" i="5" s="1"/>
  <c r="AG22" i="4"/>
  <c r="AF22" i="4"/>
  <c r="AE22" i="4"/>
  <c r="AD22" i="4"/>
  <c r="L21" i="5" s="1"/>
  <c r="AC22" i="4"/>
  <c r="AB22" i="4"/>
  <c r="K21" i="5" s="1"/>
  <c r="AA22" i="4"/>
  <c r="Z22" i="4"/>
  <c r="J21" i="5" s="1"/>
  <c r="Y22" i="4"/>
  <c r="X22" i="4"/>
  <c r="I21" i="5" s="1"/>
  <c r="W22" i="4"/>
  <c r="H21" i="5" s="1"/>
  <c r="V22" i="4"/>
  <c r="U22" i="4"/>
  <c r="G21" i="5" s="1"/>
  <c r="S22" i="4"/>
  <c r="R22" i="4"/>
  <c r="Q22" i="4"/>
  <c r="P22" i="4"/>
  <c r="E21" i="5" s="1"/>
  <c r="N22" i="4"/>
  <c r="M22" i="4"/>
  <c r="L22" i="4"/>
  <c r="K22" i="4"/>
  <c r="J22" i="4"/>
  <c r="I22" i="4"/>
  <c r="H22" i="4"/>
  <c r="G22" i="4"/>
  <c r="F22" i="4"/>
  <c r="E22" i="4"/>
  <c r="D22" i="4"/>
  <c r="C22" i="4"/>
  <c r="C21" i="5" s="1"/>
  <c r="B22" i="4"/>
  <c r="B21" i="5" s="1"/>
  <c r="A22" i="4"/>
  <c r="AQ21" i="4"/>
  <c r="AP21" i="4"/>
  <c r="AO21" i="4"/>
  <c r="P20" i="5" s="1"/>
  <c r="AN21" i="4"/>
  <c r="O20" i="5" s="1"/>
  <c r="AM21" i="4"/>
  <c r="AL21" i="4"/>
  <c r="AK21" i="4"/>
  <c r="N20" i="5" s="1"/>
  <c r="AJ21" i="4"/>
  <c r="AI21" i="4"/>
  <c r="AH21" i="4"/>
  <c r="M20" i="5" s="1"/>
  <c r="AG21" i="4"/>
  <c r="AF21" i="4"/>
  <c r="AE21" i="4"/>
  <c r="AD21" i="4"/>
  <c r="L20" i="5" s="1"/>
  <c r="AC21" i="4"/>
  <c r="AB21" i="4"/>
  <c r="K20" i="5" s="1"/>
  <c r="AA21" i="4"/>
  <c r="Z21" i="4"/>
  <c r="J20" i="5" s="1"/>
  <c r="Y21" i="4"/>
  <c r="X21" i="4"/>
  <c r="I20" i="5" s="1"/>
  <c r="W21" i="4"/>
  <c r="H20" i="5" s="1"/>
  <c r="V21" i="4"/>
  <c r="U21" i="4"/>
  <c r="G20" i="5" s="1"/>
  <c r="S21" i="4"/>
  <c r="R21" i="4"/>
  <c r="Q21" i="4"/>
  <c r="P21" i="4"/>
  <c r="E20" i="5" s="1"/>
  <c r="N21" i="4"/>
  <c r="M21" i="4"/>
  <c r="L21" i="4"/>
  <c r="K21" i="4"/>
  <c r="J21" i="4"/>
  <c r="I21" i="4"/>
  <c r="H21" i="4"/>
  <c r="G21" i="4"/>
  <c r="F21" i="4"/>
  <c r="E21" i="4"/>
  <c r="D21" i="4"/>
  <c r="C21" i="4"/>
  <c r="C20" i="5" s="1"/>
  <c r="B21" i="4"/>
  <c r="B20" i="5" s="1"/>
  <c r="A21" i="4"/>
  <c r="AQ20" i="4"/>
  <c r="AP20" i="4"/>
  <c r="AO20" i="4"/>
  <c r="P19" i="5" s="1"/>
  <c r="AN20" i="4"/>
  <c r="O19" i="5" s="1"/>
  <c r="AM20" i="4"/>
  <c r="AL20" i="4"/>
  <c r="AK20" i="4"/>
  <c r="N19" i="5" s="1"/>
  <c r="AJ20" i="4"/>
  <c r="AI20" i="4"/>
  <c r="AH20" i="4"/>
  <c r="M19" i="5" s="1"/>
  <c r="AG20" i="4"/>
  <c r="AF20" i="4"/>
  <c r="AE20" i="4"/>
  <c r="AD20" i="4"/>
  <c r="L19" i="5" s="1"/>
  <c r="AC20" i="4"/>
  <c r="AB20" i="4"/>
  <c r="K19" i="5" s="1"/>
  <c r="AA20" i="4"/>
  <c r="Z20" i="4"/>
  <c r="J19" i="5" s="1"/>
  <c r="Y20" i="4"/>
  <c r="X20" i="4"/>
  <c r="I19" i="5" s="1"/>
  <c r="W20" i="4"/>
  <c r="H19" i="5" s="1"/>
  <c r="V20" i="4"/>
  <c r="U20" i="4"/>
  <c r="G19" i="5" s="1"/>
  <c r="S20" i="4"/>
  <c r="R20" i="4"/>
  <c r="Q20" i="4"/>
  <c r="P20" i="4"/>
  <c r="E19" i="5" s="1"/>
  <c r="N20" i="4"/>
  <c r="M20" i="4"/>
  <c r="L20" i="4"/>
  <c r="K20" i="4"/>
  <c r="J20" i="4"/>
  <c r="I20" i="4"/>
  <c r="H20" i="4"/>
  <c r="G20" i="4"/>
  <c r="F20" i="4"/>
  <c r="E20" i="4"/>
  <c r="D20" i="4"/>
  <c r="C20" i="4"/>
  <c r="C19" i="5" s="1"/>
  <c r="B20" i="4"/>
  <c r="B19" i="5" s="1"/>
  <c r="A20" i="4"/>
  <c r="AQ19" i="4"/>
  <c r="AP19" i="4"/>
  <c r="AO19" i="4"/>
  <c r="P18" i="5" s="1"/>
  <c r="AN19" i="4"/>
  <c r="O18" i="5" s="1"/>
  <c r="AM19" i="4"/>
  <c r="AL19" i="4"/>
  <c r="AK19" i="4"/>
  <c r="N18" i="5" s="1"/>
  <c r="AJ19" i="4"/>
  <c r="AI19" i="4"/>
  <c r="AH19" i="4"/>
  <c r="M18" i="5" s="1"/>
  <c r="AG19" i="4"/>
  <c r="AF19" i="4"/>
  <c r="AE19" i="4"/>
  <c r="AD19" i="4"/>
  <c r="L18" i="5" s="1"/>
  <c r="AC19" i="4"/>
  <c r="AB19" i="4"/>
  <c r="K18" i="5" s="1"/>
  <c r="AA19" i="4"/>
  <c r="Z19" i="4"/>
  <c r="J18" i="5" s="1"/>
  <c r="Y19" i="4"/>
  <c r="X19" i="4"/>
  <c r="I18" i="5" s="1"/>
  <c r="W19" i="4"/>
  <c r="H18" i="5" s="1"/>
  <c r="V19" i="4"/>
  <c r="U19" i="4"/>
  <c r="G18" i="5" s="1"/>
  <c r="S19" i="4"/>
  <c r="R19" i="4"/>
  <c r="Q19" i="4"/>
  <c r="P19" i="4"/>
  <c r="E18" i="5" s="1"/>
  <c r="E19" i="6" s="1"/>
  <c r="N19" i="4"/>
  <c r="M19" i="4"/>
  <c r="L19" i="4"/>
  <c r="K19" i="4"/>
  <c r="J19" i="4"/>
  <c r="I19" i="4"/>
  <c r="H19" i="4"/>
  <c r="G19" i="4"/>
  <c r="F19" i="4"/>
  <c r="E19" i="4"/>
  <c r="D19" i="4"/>
  <c r="C19" i="4"/>
  <c r="C18" i="5" s="1"/>
  <c r="B19" i="4"/>
  <c r="B18" i="5" s="1"/>
  <c r="A19" i="4"/>
  <c r="AQ18" i="4"/>
  <c r="AP18" i="4"/>
  <c r="AO18" i="4"/>
  <c r="P17" i="5" s="1"/>
  <c r="AN18" i="4"/>
  <c r="O17" i="5" s="1"/>
  <c r="AM18" i="4"/>
  <c r="AL18" i="4"/>
  <c r="AK18" i="4"/>
  <c r="N17" i="5" s="1"/>
  <c r="AJ18" i="4"/>
  <c r="AI18" i="4"/>
  <c r="AH18" i="4"/>
  <c r="M17" i="5" s="1"/>
  <c r="AG18" i="4"/>
  <c r="AF18" i="4"/>
  <c r="AE18" i="4"/>
  <c r="AD18" i="4"/>
  <c r="L17" i="5" s="1"/>
  <c r="AC18" i="4"/>
  <c r="AB18" i="4"/>
  <c r="K17" i="5" s="1"/>
  <c r="AA18" i="4"/>
  <c r="Z18" i="4"/>
  <c r="J17" i="5" s="1"/>
  <c r="Y18" i="4"/>
  <c r="X18" i="4"/>
  <c r="I17" i="5" s="1"/>
  <c r="W18" i="4"/>
  <c r="H17" i="5" s="1"/>
  <c r="V18" i="4"/>
  <c r="U18" i="4"/>
  <c r="G17" i="5" s="1"/>
  <c r="S18" i="4"/>
  <c r="R18" i="4"/>
  <c r="Q18" i="4"/>
  <c r="P18" i="4"/>
  <c r="E17" i="5" s="1"/>
  <c r="N18" i="4"/>
  <c r="M18" i="4"/>
  <c r="L18" i="4"/>
  <c r="K18" i="4"/>
  <c r="J18" i="4"/>
  <c r="I18" i="4"/>
  <c r="H18" i="4"/>
  <c r="G18" i="4"/>
  <c r="F18" i="4"/>
  <c r="E18" i="4"/>
  <c r="D18" i="4"/>
  <c r="C18" i="4"/>
  <c r="C17" i="5" s="1"/>
  <c r="B18" i="4"/>
  <c r="B17" i="5" s="1"/>
  <c r="A18" i="4"/>
  <c r="AQ17" i="4"/>
  <c r="AP17" i="4"/>
  <c r="AO17" i="4"/>
  <c r="P16" i="5" s="1"/>
  <c r="AN17" i="4"/>
  <c r="O16" i="5" s="1"/>
  <c r="AM17" i="4"/>
  <c r="AL17" i="4"/>
  <c r="AK17" i="4"/>
  <c r="N16" i="5" s="1"/>
  <c r="AJ17" i="4"/>
  <c r="AI17" i="4"/>
  <c r="AH17" i="4"/>
  <c r="M16" i="5" s="1"/>
  <c r="AG17" i="4"/>
  <c r="AF17" i="4"/>
  <c r="AE17" i="4"/>
  <c r="AD17" i="4"/>
  <c r="L16" i="5" s="1"/>
  <c r="AC17" i="4"/>
  <c r="AB17" i="4"/>
  <c r="K16" i="5" s="1"/>
  <c r="AA17" i="4"/>
  <c r="Z17" i="4"/>
  <c r="J16" i="5" s="1"/>
  <c r="Y17" i="4"/>
  <c r="X17" i="4"/>
  <c r="I16" i="5" s="1"/>
  <c r="W17" i="4"/>
  <c r="H16" i="5" s="1"/>
  <c r="V17" i="4"/>
  <c r="U17" i="4"/>
  <c r="G16" i="5" s="1"/>
  <c r="S17" i="4"/>
  <c r="R17" i="4"/>
  <c r="Q17" i="4"/>
  <c r="P17" i="4"/>
  <c r="E16" i="5" s="1"/>
  <c r="N17" i="4"/>
  <c r="M17" i="4"/>
  <c r="L17" i="4"/>
  <c r="K17" i="4"/>
  <c r="J17" i="4"/>
  <c r="I17" i="4"/>
  <c r="H17" i="4"/>
  <c r="G17" i="4"/>
  <c r="F17" i="4"/>
  <c r="E17" i="4"/>
  <c r="D17" i="4"/>
  <c r="C17" i="4"/>
  <c r="C16" i="5" s="1"/>
  <c r="B17" i="4"/>
  <c r="B16" i="5" s="1"/>
  <c r="A17" i="4"/>
  <c r="AQ16" i="4"/>
  <c r="AP16" i="4"/>
  <c r="AO16" i="4"/>
  <c r="P15" i="5" s="1"/>
  <c r="AN16" i="4"/>
  <c r="O15" i="5" s="1"/>
  <c r="AM16" i="4"/>
  <c r="AL16" i="4"/>
  <c r="AK16" i="4"/>
  <c r="N15" i="5" s="1"/>
  <c r="AJ16" i="4"/>
  <c r="AI16" i="4"/>
  <c r="AH16" i="4"/>
  <c r="M15" i="5" s="1"/>
  <c r="AG16" i="4"/>
  <c r="AF16" i="4"/>
  <c r="AE16" i="4"/>
  <c r="AD16" i="4"/>
  <c r="L15" i="5" s="1"/>
  <c r="AC16" i="4"/>
  <c r="AB16" i="4"/>
  <c r="K15" i="5" s="1"/>
  <c r="AA16" i="4"/>
  <c r="Z16" i="4"/>
  <c r="J15" i="5" s="1"/>
  <c r="Y16" i="4"/>
  <c r="X16" i="4"/>
  <c r="I15" i="5" s="1"/>
  <c r="W16" i="4"/>
  <c r="H15" i="5" s="1"/>
  <c r="V16" i="4"/>
  <c r="U16" i="4"/>
  <c r="G15" i="5" s="1"/>
  <c r="S16" i="4"/>
  <c r="R16" i="4"/>
  <c r="Q16" i="4"/>
  <c r="P16" i="4"/>
  <c r="E15" i="5" s="1"/>
  <c r="N16" i="4"/>
  <c r="M16" i="4"/>
  <c r="L16" i="4"/>
  <c r="K16" i="4"/>
  <c r="J16" i="4"/>
  <c r="I16" i="4"/>
  <c r="H16" i="4"/>
  <c r="G16" i="4"/>
  <c r="F16" i="4"/>
  <c r="E16" i="4"/>
  <c r="D16" i="4"/>
  <c r="C16" i="4"/>
  <c r="C15" i="5" s="1"/>
  <c r="B16" i="4"/>
  <c r="B15" i="5" s="1"/>
  <c r="A16" i="4"/>
  <c r="AQ15" i="4"/>
  <c r="AP15" i="4"/>
  <c r="AO15" i="4"/>
  <c r="P14" i="5" s="1"/>
  <c r="AN15" i="4"/>
  <c r="O14" i="5" s="1"/>
  <c r="AM15" i="4"/>
  <c r="AL15" i="4"/>
  <c r="AK15" i="4"/>
  <c r="N14" i="5" s="1"/>
  <c r="AJ15" i="4"/>
  <c r="AI15" i="4"/>
  <c r="AH15" i="4"/>
  <c r="M14" i="5" s="1"/>
  <c r="AG15" i="4"/>
  <c r="AF15" i="4"/>
  <c r="AE15" i="4"/>
  <c r="AD15" i="4"/>
  <c r="L14" i="5" s="1"/>
  <c r="AC15" i="4"/>
  <c r="AB15" i="4"/>
  <c r="K14" i="5" s="1"/>
  <c r="AA15" i="4"/>
  <c r="Z15" i="4"/>
  <c r="J14" i="5" s="1"/>
  <c r="Y15" i="4"/>
  <c r="X15" i="4"/>
  <c r="I14" i="5" s="1"/>
  <c r="W15" i="4"/>
  <c r="H14" i="5" s="1"/>
  <c r="V15" i="4"/>
  <c r="U15" i="4"/>
  <c r="G14" i="5" s="1"/>
  <c r="S15" i="4"/>
  <c r="R15" i="4"/>
  <c r="Q15" i="4"/>
  <c r="P15" i="4"/>
  <c r="E14" i="5" s="1"/>
  <c r="N15" i="4"/>
  <c r="M15" i="4"/>
  <c r="L15" i="4"/>
  <c r="K15" i="4"/>
  <c r="J15" i="4"/>
  <c r="I15" i="4"/>
  <c r="H15" i="4"/>
  <c r="G15" i="4"/>
  <c r="F15" i="4"/>
  <c r="E15" i="4"/>
  <c r="D15" i="4"/>
  <c r="C15" i="4"/>
  <c r="C14" i="5" s="1"/>
  <c r="B15" i="4"/>
  <c r="B14" i="5" s="1"/>
  <c r="A15" i="4"/>
  <c r="AQ14" i="4"/>
  <c r="AP14" i="4"/>
  <c r="AO14" i="4"/>
  <c r="P13" i="5" s="1"/>
  <c r="AN14" i="4"/>
  <c r="O13" i="5" s="1"/>
  <c r="AM14" i="4"/>
  <c r="AL14" i="4"/>
  <c r="AK14" i="4"/>
  <c r="N13" i="5" s="1"/>
  <c r="AJ14" i="4"/>
  <c r="AI14" i="4"/>
  <c r="AH14" i="4"/>
  <c r="M13" i="5" s="1"/>
  <c r="AG14" i="4"/>
  <c r="AF14" i="4"/>
  <c r="AE14" i="4"/>
  <c r="AD14" i="4"/>
  <c r="L13" i="5" s="1"/>
  <c r="AC14" i="4"/>
  <c r="AB14" i="4"/>
  <c r="K13" i="5" s="1"/>
  <c r="AA14" i="4"/>
  <c r="Z14" i="4"/>
  <c r="J13" i="5" s="1"/>
  <c r="Y14" i="4"/>
  <c r="X14" i="4"/>
  <c r="I13" i="5" s="1"/>
  <c r="W14" i="4"/>
  <c r="H13" i="5" s="1"/>
  <c r="V14" i="4"/>
  <c r="U14" i="4"/>
  <c r="G13" i="5" s="1"/>
  <c r="S14" i="4"/>
  <c r="R14" i="4"/>
  <c r="Q14" i="4"/>
  <c r="P14" i="4"/>
  <c r="E13" i="5" s="1"/>
  <c r="N14" i="4"/>
  <c r="M14" i="4"/>
  <c r="L14" i="4"/>
  <c r="K14" i="4"/>
  <c r="J14" i="4"/>
  <c r="I14" i="4"/>
  <c r="H14" i="4"/>
  <c r="G14" i="4"/>
  <c r="F14" i="4"/>
  <c r="E14" i="4"/>
  <c r="D14" i="4"/>
  <c r="C14" i="4"/>
  <c r="C13" i="5" s="1"/>
  <c r="B14" i="4"/>
  <c r="B13" i="5" s="1"/>
  <c r="A14" i="4"/>
  <c r="AQ13" i="4"/>
  <c r="AP13" i="4"/>
  <c r="AO13" i="4"/>
  <c r="P12" i="5" s="1"/>
  <c r="AN13" i="4"/>
  <c r="O12" i="5" s="1"/>
  <c r="AM13" i="4"/>
  <c r="AL13" i="4"/>
  <c r="AK13" i="4"/>
  <c r="N12" i="5" s="1"/>
  <c r="AJ13" i="4"/>
  <c r="AI13" i="4"/>
  <c r="AH13" i="4"/>
  <c r="M12" i="5" s="1"/>
  <c r="AG13" i="4"/>
  <c r="AF13" i="4"/>
  <c r="AE13" i="4"/>
  <c r="AD13" i="4"/>
  <c r="L12" i="5" s="1"/>
  <c r="AC13" i="4"/>
  <c r="AB13" i="4"/>
  <c r="K12" i="5" s="1"/>
  <c r="AA13" i="4"/>
  <c r="Z13" i="4"/>
  <c r="J12" i="5" s="1"/>
  <c r="Y13" i="4"/>
  <c r="X13" i="4"/>
  <c r="I12" i="5" s="1"/>
  <c r="W13" i="4"/>
  <c r="H12" i="5" s="1"/>
  <c r="V13" i="4"/>
  <c r="U13" i="4"/>
  <c r="G12" i="5" s="1"/>
  <c r="S13" i="4"/>
  <c r="R13" i="4"/>
  <c r="Q13" i="4"/>
  <c r="P13" i="4"/>
  <c r="E12" i="5" s="1"/>
  <c r="N13" i="4"/>
  <c r="M13" i="4"/>
  <c r="L13" i="4"/>
  <c r="K13" i="4"/>
  <c r="J13" i="4"/>
  <c r="I13" i="4"/>
  <c r="H13" i="4"/>
  <c r="G13" i="4"/>
  <c r="F13" i="4"/>
  <c r="E13" i="4"/>
  <c r="D13" i="4"/>
  <c r="C13" i="4"/>
  <c r="C12" i="5" s="1"/>
  <c r="B13" i="4"/>
  <c r="B12" i="5" s="1"/>
  <c r="A13" i="4"/>
  <c r="AQ12" i="4"/>
  <c r="AP12" i="4"/>
  <c r="AO12" i="4"/>
  <c r="P11" i="5" s="1"/>
  <c r="AN12" i="4"/>
  <c r="O11" i="5" s="1"/>
  <c r="AM12" i="4"/>
  <c r="AL12" i="4"/>
  <c r="AK12" i="4"/>
  <c r="N11" i="5" s="1"/>
  <c r="AJ12" i="4"/>
  <c r="AI12" i="4"/>
  <c r="AH12" i="4"/>
  <c r="M11" i="5" s="1"/>
  <c r="AG12" i="4"/>
  <c r="AF12" i="4"/>
  <c r="AE12" i="4"/>
  <c r="AD12" i="4"/>
  <c r="L11" i="5" s="1"/>
  <c r="AC12" i="4"/>
  <c r="AB12" i="4"/>
  <c r="K11" i="5" s="1"/>
  <c r="AA12" i="4"/>
  <c r="Z12" i="4"/>
  <c r="J11" i="5" s="1"/>
  <c r="Y12" i="4"/>
  <c r="X12" i="4"/>
  <c r="I11" i="5" s="1"/>
  <c r="W12" i="4"/>
  <c r="H11" i="5" s="1"/>
  <c r="V12" i="4"/>
  <c r="U12" i="4"/>
  <c r="G11" i="5" s="1"/>
  <c r="S12" i="4"/>
  <c r="R12" i="4"/>
  <c r="Q12" i="4"/>
  <c r="P12" i="4"/>
  <c r="E11" i="5" s="1"/>
  <c r="N12" i="4"/>
  <c r="M12" i="4"/>
  <c r="L12" i="4"/>
  <c r="K12" i="4"/>
  <c r="J12" i="4"/>
  <c r="I12" i="4"/>
  <c r="H12" i="4"/>
  <c r="G12" i="4"/>
  <c r="F12" i="4"/>
  <c r="E12" i="4"/>
  <c r="D12" i="4"/>
  <c r="C12" i="4"/>
  <c r="C11" i="5" s="1"/>
  <c r="B12" i="4"/>
  <c r="B11" i="5" s="1"/>
  <c r="A12" i="4"/>
  <c r="AQ11" i="4"/>
  <c r="AP11" i="4"/>
  <c r="AO11" i="4"/>
  <c r="P10" i="5" s="1"/>
  <c r="P11" i="6" s="1"/>
  <c r="AN11" i="4"/>
  <c r="O10" i="5" s="1"/>
  <c r="AM11" i="4"/>
  <c r="AL11" i="4"/>
  <c r="AK11" i="4"/>
  <c r="N10" i="5" s="1"/>
  <c r="AJ11" i="4"/>
  <c r="AI11" i="4"/>
  <c r="AH11" i="4"/>
  <c r="M10" i="5" s="1"/>
  <c r="AG11" i="4"/>
  <c r="AF11" i="4"/>
  <c r="AE11" i="4"/>
  <c r="AD11" i="4"/>
  <c r="L10" i="5" s="1"/>
  <c r="AC11" i="4"/>
  <c r="AB11" i="4"/>
  <c r="K10" i="5" s="1"/>
  <c r="AA11" i="4"/>
  <c r="Z11" i="4"/>
  <c r="J10" i="5" s="1"/>
  <c r="Y11" i="4"/>
  <c r="X11" i="4"/>
  <c r="I10" i="5" s="1"/>
  <c r="W11" i="4"/>
  <c r="H10" i="5" s="1"/>
  <c r="V11" i="4"/>
  <c r="U11" i="4"/>
  <c r="G10" i="5" s="1"/>
  <c r="S11" i="4"/>
  <c r="R11" i="4"/>
  <c r="Q11" i="4"/>
  <c r="P11" i="4"/>
  <c r="E10" i="5" s="1"/>
  <c r="N11" i="4"/>
  <c r="M11" i="4"/>
  <c r="L11" i="4"/>
  <c r="K11" i="4"/>
  <c r="J11" i="4"/>
  <c r="I11" i="4"/>
  <c r="H11" i="4"/>
  <c r="G11" i="4"/>
  <c r="F11" i="4"/>
  <c r="E11" i="4"/>
  <c r="D11" i="4"/>
  <c r="C11" i="4"/>
  <c r="C10" i="5" s="1"/>
  <c r="B11" i="4"/>
  <c r="B10" i="5" s="1"/>
  <c r="A11" i="4"/>
  <c r="AQ10" i="4"/>
  <c r="AP10" i="4"/>
  <c r="AO10" i="4"/>
  <c r="P9" i="5" s="1"/>
  <c r="AN10" i="4"/>
  <c r="O9" i="5" s="1"/>
  <c r="AM10" i="4"/>
  <c r="AL10" i="4"/>
  <c r="AK10" i="4"/>
  <c r="N9" i="5" s="1"/>
  <c r="AJ10" i="4"/>
  <c r="AI10" i="4"/>
  <c r="AH10" i="4"/>
  <c r="M9" i="5" s="1"/>
  <c r="AG10" i="4"/>
  <c r="AF10" i="4"/>
  <c r="AE10" i="4"/>
  <c r="AD10" i="4"/>
  <c r="L9" i="5" s="1"/>
  <c r="AC10" i="4"/>
  <c r="AB10" i="4"/>
  <c r="K9" i="5" s="1"/>
  <c r="AA10" i="4"/>
  <c r="Z10" i="4"/>
  <c r="J9" i="5" s="1"/>
  <c r="Y10" i="4"/>
  <c r="X10" i="4"/>
  <c r="I9" i="5" s="1"/>
  <c r="W10" i="4"/>
  <c r="H9" i="5" s="1"/>
  <c r="V10" i="4"/>
  <c r="U10" i="4"/>
  <c r="G9" i="5" s="1"/>
  <c r="S10" i="4"/>
  <c r="R10" i="4"/>
  <c r="Q10" i="4"/>
  <c r="P10" i="4"/>
  <c r="E9" i="5" s="1"/>
  <c r="N10" i="4"/>
  <c r="M10" i="4"/>
  <c r="L10" i="4"/>
  <c r="K10" i="4"/>
  <c r="J10" i="4"/>
  <c r="I10" i="4"/>
  <c r="H10" i="4"/>
  <c r="G10" i="4"/>
  <c r="F10" i="4"/>
  <c r="E10" i="4"/>
  <c r="D10" i="4"/>
  <c r="C10" i="4"/>
  <c r="C9" i="5" s="1"/>
  <c r="B10" i="4"/>
  <c r="B9" i="5" s="1"/>
  <c r="A10" i="4"/>
  <c r="AQ9" i="4"/>
  <c r="AP9" i="4"/>
  <c r="AO9" i="4"/>
  <c r="P8" i="5" s="1"/>
  <c r="AN9" i="4"/>
  <c r="O8" i="5" s="1"/>
  <c r="AM9" i="4"/>
  <c r="AL9" i="4"/>
  <c r="AK9" i="4"/>
  <c r="N8" i="5" s="1"/>
  <c r="AJ9" i="4"/>
  <c r="AI9" i="4"/>
  <c r="AH9" i="4"/>
  <c r="M8" i="5" s="1"/>
  <c r="AG9" i="4"/>
  <c r="AF9" i="4"/>
  <c r="AE9" i="4"/>
  <c r="AD9" i="4"/>
  <c r="L8" i="5" s="1"/>
  <c r="AC9" i="4"/>
  <c r="AB9" i="4"/>
  <c r="K8" i="5" s="1"/>
  <c r="AA9" i="4"/>
  <c r="Z9" i="4"/>
  <c r="J8" i="5" s="1"/>
  <c r="Y9" i="4"/>
  <c r="X9" i="4"/>
  <c r="I8" i="5" s="1"/>
  <c r="W9" i="4"/>
  <c r="H8" i="5" s="1"/>
  <c r="V9" i="4"/>
  <c r="U9" i="4"/>
  <c r="G8" i="5" s="1"/>
  <c r="S9" i="4"/>
  <c r="R9" i="4"/>
  <c r="Q9" i="4"/>
  <c r="P9" i="4"/>
  <c r="E8" i="5" s="1"/>
  <c r="N9" i="4"/>
  <c r="M9" i="4"/>
  <c r="L9" i="4"/>
  <c r="K9" i="4"/>
  <c r="J9" i="4"/>
  <c r="I9" i="4"/>
  <c r="H9" i="4"/>
  <c r="G9" i="4"/>
  <c r="F9" i="4"/>
  <c r="E9" i="4"/>
  <c r="D9" i="4"/>
  <c r="C9" i="4"/>
  <c r="C8" i="5" s="1"/>
  <c r="B9" i="4"/>
  <c r="B8" i="5" s="1"/>
  <c r="A9" i="4"/>
  <c r="AQ8" i="4"/>
  <c r="AP8" i="4"/>
  <c r="AO8" i="4"/>
  <c r="P7" i="5" s="1"/>
  <c r="AN8" i="4"/>
  <c r="O7" i="5" s="1"/>
  <c r="AM8" i="4"/>
  <c r="AL8" i="4"/>
  <c r="AK8" i="4"/>
  <c r="N7" i="5" s="1"/>
  <c r="AJ8" i="4"/>
  <c r="AI8" i="4"/>
  <c r="AH8" i="4"/>
  <c r="M7" i="5" s="1"/>
  <c r="AG8" i="4"/>
  <c r="AF8" i="4"/>
  <c r="AE8" i="4"/>
  <c r="AD8" i="4"/>
  <c r="L7" i="5" s="1"/>
  <c r="AC8" i="4"/>
  <c r="AB8" i="4"/>
  <c r="K7" i="5" s="1"/>
  <c r="AA8" i="4"/>
  <c r="Z8" i="4"/>
  <c r="J7" i="5" s="1"/>
  <c r="Y8" i="4"/>
  <c r="X8" i="4"/>
  <c r="I7" i="5" s="1"/>
  <c r="W8" i="4"/>
  <c r="H7" i="5" s="1"/>
  <c r="V8" i="4"/>
  <c r="U8" i="4"/>
  <c r="G7" i="5" s="1"/>
  <c r="S8" i="4"/>
  <c r="R8" i="4"/>
  <c r="Q8" i="4"/>
  <c r="P8" i="4"/>
  <c r="E7" i="5" s="1"/>
  <c r="E8" i="6" s="1"/>
  <c r="N8" i="4"/>
  <c r="M8" i="4"/>
  <c r="L8" i="4"/>
  <c r="K8" i="4"/>
  <c r="J8" i="4"/>
  <c r="I8" i="4"/>
  <c r="H8" i="4"/>
  <c r="G8" i="4"/>
  <c r="F8" i="4"/>
  <c r="E8" i="4"/>
  <c r="D8" i="4"/>
  <c r="C8" i="4"/>
  <c r="C7" i="5" s="1"/>
  <c r="B8" i="4"/>
  <c r="B7" i="5" s="1"/>
  <c r="A8" i="4"/>
  <c r="AQ7" i="4"/>
  <c r="AP7" i="4"/>
  <c r="AO7" i="4"/>
  <c r="P6" i="5" s="1"/>
  <c r="AN7" i="4"/>
  <c r="O6" i="5" s="1"/>
  <c r="AM7" i="4"/>
  <c r="AL7" i="4"/>
  <c r="AK7" i="4"/>
  <c r="N6" i="5" s="1"/>
  <c r="AJ7" i="4"/>
  <c r="AI7" i="4"/>
  <c r="AH7" i="4"/>
  <c r="M6" i="5" s="1"/>
  <c r="AG7" i="4"/>
  <c r="AF7" i="4"/>
  <c r="AE7" i="4"/>
  <c r="AD7" i="4"/>
  <c r="L6" i="5" s="1"/>
  <c r="AC7" i="4"/>
  <c r="AB7" i="4"/>
  <c r="K6" i="5" s="1"/>
  <c r="AA7" i="4"/>
  <c r="Z7" i="4"/>
  <c r="J6" i="5" s="1"/>
  <c r="Y7" i="4"/>
  <c r="X7" i="4"/>
  <c r="I6" i="5" s="1"/>
  <c r="W7" i="4"/>
  <c r="H6" i="5" s="1"/>
  <c r="V7" i="4"/>
  <c r="U7" i="4"/>
  <c r="G6" i="5" s="1"/>
  <c r="S7" i="4"/>
  <c r="R7" i="4"/>
  <c r="Q7" i="4"/>
  <c r="P7" i="4"/>
  <c r="E6" i="5" s="1"/>
  <c r="N7" i="4"/>
  <c r="M7" i="4"/>
  <c r="L7" i="4"/>
  <c r="K7" i="4"/>
  <c r="J7" i="4"/>
  <c r="I7" i="4"/>
  <c r="H7" i="4"/>
  <c r="G7" i="4"/>
  <c r="F7" i="4"/>
  <c r="E7" i="4"/>
  <c r="D7" i="4"/>
  <c r="C7" i="4"/>
  <c r="C6" i="5" s="1"/>
  <c r="B7" i="4"/>
  <c r="B6" i="5" s="1"/>
  <c r="A7" i="4"/>
  <c r="AQ6" i="4"/>
  <c r="AP6" i="4"/>
  <c r="AO6" i="4"/>
  <c r="P5" i="5" s="1"/>
  <c r="AN6" i="4"/>
  <c r="O5" i="5" s="1"/>
  <c r="AM6" i="4"/>
  <c r="AL6" i="4"/>
  <c r="AK6" i="4"/>
  <c r="N5" i="5" s="1"/>
  <c r="AJ6" i="4"/>
  <c r="AI6" i="4"/>
  <c r="AH6" i="4"/>
  <c r="M5" i="5" s="1"/>
  <c r="AG6" i="4"/>
  <c r="AF6" i="4"/>
  <c r="AE6" i="4"/>
  <c r="AD6" i="4"/>
  <c r="L5" i="5" s="1"/>
  <c r="AC6" i="4"/>
  <c r="AB6" i="4"/>
  <c r="K5" i="5" s="1"/>
  <c r="AA6" i="4"/>
  <c r="Z6" i="4"/>
  <c r="J5" i="5" s="1"/>
  <c r="Y6" i="4"/>
  <c r="X6" i="4"/>
  <c r="I5" i="5" s="1"/>
  <c r="W6" i="4"/>
  <c r="H5" i="5" s="1"/>
  <c r="V6" i="4"/>
  <c r="U6" i="4"/>
  <c r="G5" i="5" s="1"/>
  <c r="S6" i="4"/>
  <c r="R6" i="4"/>
  <c r="Q6" i="4"/>
  <c r="P6" i="4"/>
  <c r="E5" i="5" s="1"/>
  <c r="N6" i="4"/>
  <c r="M6" i="4"/>
  <c r="L6" i="4"/>
  <c r="K6" i="4"/>
  <c r="J6" i="4"/>
  <c r="I6" i="4"/>
  <c r="H6" i="4"/>
  <c r="G6" i="4"/>
  <c r="F6" i="4"/>
  <c r="E6" i="4"/>
  <c r="D6" i="4"/>
  <c r="C6" i="4"/>
  <c r="C5" i="5" s="1"/>
  <c r="B6" i="4"/>
  <c r="B5" i="5" s="1"/>
  <c r="A6" i="4"/>
  <c r="AQ5" i="4"/>
  <c r="AP5" i="4"/>
  <c r="AO5" i="4"/>
  <c r="P4" i="5" s="1"/>
  <c r="AN5" i="4"/>
  <c r="O4" i="5" s="1"/>
  <c r="AM5" i="4"/>
  <c r="AL5" i="4"/>
  <c r="AK5" i="4"/>
  <c r="N4" i="5" s="1"/>
  <c r="AJ5" i="4"/>
  <c r="AI5" i="4"/>
  <c r="AH5" i="4"/>
  <c r="M4" i="5" s="1"/>
  <c r="AG5" i="4"/>
  <c r="AF5" i="4"/>
  <c r="AE5" i="4"/>
  <c r="AD5" i="4"/>
  <c r="L4" i="5" s="1"/>
  <c r="L5" i="6" s="1"/>
  <c r="AC5" i="4"/>
  <c r="AB5" i="4"/>
  <c r="K4" i="5" s="1"/>
  <c r="K5" i="6" s="1"/>
  <c r="AA5" i="4"/>
  <c r="Z5" i="4"/>
  <c r="J4" i="5" s="1"/>
  <c r="Y5" i="4"/>
  <c r="X5" i="4"/>
  <c r="I4" i="5" s="1"/>
  <c r="I5" i="6" s="1"/>
  <c r="W5" i="4"/>
  <c r="H4" i="5" s="1"/>
  <c r="V5" i="4"/>
  <c r="U5" i="4"/>
  <c r="G4" i="5" s="1"/>
  <c r="S5" i="4"/>
  <c r="R5" i="4"/>
  <c r="Q5" i="4"/>
  <c r="P5" i="4"/>
  <c r="E4" i="5" s="1"/>
  <c r="E5" i="6" s="1"/>
  <c r="N5" i="4"/>
  <c r="M5" i="4"/>
  <c r="L5" i="4"/>
  <c r="K5" i="4"/>
  <c r="J5" i="4"/>
  <c r="I5" i="4"/>
  <c r="H5" i="4"/>
  <c r="G5" i="4"/>
  <c r="F5" i="4"/>
  <c r="E5" i="4"/>
  <c r="D5" i="4"/>
  <c r="C5" i="4"/>
  <c r="C4" i="5" s="1"/>
  <c r="C5" i="6" s="1"/>
  <c r="B5" i="4"/>
  <c r="B4" i="5" s="1"/>
  <c r="A5" i="4"/>
  <c r="AQ4" i="4"/>
  <c r="AP4" i="4"/>
  <c r="AO4" i="4"/>
  <c r="P3" i="5" s="1"/>
  <c r="P4" i="6" s="1"/>
  <c r="AN4" i="4"/>
  <c r="O3" i="5" s="1"/>
  <c r="O4" i="6" s="1"/>
  <c r="AM4" i="4"/>
  <c r="AL4" i="4"/>
  <c r="AK4" i="4"/>
  <c r="N3" i="5" s="1"/>
  <c r="N4" i="6" s="1"/>
  <c r="AJ4" i="4"/>
  <c r="AI4" i="4"/>
  <c r="AH4" i="4"/>
  <c r="M3" i="5" s="1"/>
  <c r="AG4" i="4"/>
  <c r="AF4" i="4"/>
  <c r="AE4" i="4"/>
  <c r="AD4" i="4"/>
  <c r="L3" i="5" s="1"/>
  <c r="AC4" i="4"/>
  <c r="AB4" i="4"/>
  <c r="K3" i="5" s="1"/>
  <c r="AA4" i="4"/>
  <c r="Z4" i="4"/>
  <c r="J3" i="5" s="1"/>
  <c r="Y4" i="4"/>
  <c r="X4" i="4"/>
  <c r="I3" i="5" s="1"/>
  <c r="W4" i="4"/>
  <c r="H3" i="5" s="1"/>
  <c r="V4" i="4"/>
  <c r="U4" i="4"/>
  <c r="G3" i="5" s="1"/>
  <c r="S4" i="4"/>
  <c r="R4" i="4"/>
  <c r="Q4" i="4"/>
  <c r="P4" i="4"/>
  <c r="E3" i="5" s="1"/>
  <c r="N4" i="4"/>
  <c r="M4" i="4"/>
  <c r="L4" i="4"/>
  <c r="K4" i="4"/>
  <c r="J4" i="4"/>
  <c r="I4" i="4"/>
  <c r="H4" i="4"/>
  <c r="G4" i="4"/>
  <c r="F4" i="4"/>
  <c r="E4" i="4"/>
  <c r="D4" i="4"/>
  <c r="C4" i="4"/>
  <c r="C3" i="5" s="1"/>
  <c r="B4" i="4"/>
  <c r="B3" i="5" s="1"/>
  <c r="A4" i="4"/>
  <c r="C40" i="3"/>
  <c r="T41" i="4" s="1"/>
  <c r="B40" i="3"/>
  <c r="O41" i="4" s="1"/>
  <c r="A40" i="3"/>
  <c r="C39" i="3"/>
  <c r="T40" i="4" s="1"/>
  <c r="B39" i="3"/>
  <c r="O40" i="4" s="1"/>
  <c r="A39" i="3"/>
  <c r="C38" i="3"/>
  <c r="T39" i="4" s="1"/>
  <c r="B38" i="3"/>
  <c r="O39" i="4" s="1"/>
  <c r="A38" i="3"/>
  <c r="C37" i="3"/>
  <c r="T38" i="4" s="1"/>
  <c r="B37" i="3"/>
  <c r="O38" i="4" s="1"/>
  <c r="A37" i="3"/>
  <c r="C36" i="3"/>
  <c r="T37" i="4" s="1"/>
  <c r="B36" i="3"/>
  <c r="O37" i="4" s="1"/>
  <c r="A36" i="3"/>
  <c r="C35" i="3"/>
  <c r="T36" i="4" s="1"/>
  <c r="B35" i="3"/>
  <c r="O36" i="4" s="1"/>
  <c r="A35" i="3"/>
  <c r="C34" i="3"/>
  <c r="T35" i="4" s="1"/>
  <c r="B34" i="3"/>
  <c r="O35" i="4" s="1"/>
  <c r="A34" i="3"/>
  <c r="C33" i="3"/>
  <c r="T34" i="4" s="1"/>
  <c r="B33" i="3"/>
  <c r="O34" i="4" s="1"/>
  <c r="A33" i="3"/>
  <c r="C32" i="3"/>
  <c r="T33" i="4" s="1"/>
  <c r="B32" i="3"/>
  <c r="O33" i="4" s="1"/>
  <c r="A32" i="3"/>
  <c r="C31" i="3"/>
  <c r="T32" i="4" s="1"/>
  <c r="B31" i="3"/>
  <c r="O32" i="4" s="1"/>
  <c r="A31" i="3"/>
  <c r="C30" i="3"/>
  <c r="T31" i="4" s="1"/>
  <c r="B30" i="3"/>
  <c r="O31" i="4" s="1"/>
  <c r="A30" i="3"/>
  <c r="C29" i="3"/>
  <c r="T30" i="4" s="1"/>
  <c r="B29" i="3"/>
  <c r="O30" i="4" s="1"/>
  <c r="A29" i="3"/>
  <c r="C28" i="3"/>
  <c r="T29" i="4" s="1"/>
  <c r="B28" i="3"/>
  <c r="O29" i="4" s="1"/>
  <c r="A28" i="3"/>
  <c r="C27" i="3"/>
  <c r="T28" i="4" s="1"/>
  <c r="B27" i="3"/>
  <c r="O28" i="4" s="1"/>
  <c r="A27" i="3"/>
  <c r="C26" i="3"/>
  <c r="T27" i="4" s="1"/>
  <c r="B26" i="3"/>
  <c r="O27" i="4" s="1"/>
  <c r="A26" i="3"/>
  <c r="C25" i="3"/>
  <c r="T26" i="4" s="1"/>
  <c r="B25" i="3"/>
  <c r="O26" i="4" s="1"/>
  <c r="A25" i="3"/>
  <c r="C24" i="3"/>
  <c r="T25" i="4" s="1"/>
  <c r="B24" i="3"/>
  <c r="O25" i="4" s="1"/>
  <c r="A24" i="3"/>
  <c r="C23" i="3"/>
  <c r="T24" i="4" s="1"/>
  <c r="B23" i="3"/>
  <c r="O24" i="4" s="1"/>
  <c r="A23" i="3"/>
  <c r="C22" i="3"/>
  <c r="T23" i="4" s="1"/>
  <c r="B22" i="3"/>
  <c r="O23" i="4" s="1"/>
  <c r="A22" i="3"/>
  <c r="C21" i="3"/>
  <c r="T22" i="4" s="1"/>
  <c r="B21" i="3"/>
  <c r="O22" i="4" s="1"/>
  <c r="A21" i="3"/>
  <c r="C20" i="3"/>
  <c r="T21" i="4" s="1"/>
  <c r="B20" i="3"/>
  <c r="O21" i="4" s="1"/>
  <c r="A20" i="3"/>
  <c r="C19" i="3"/>
  <c r="T20" i="4" s="1"/>
  <c r="B19" i="3"/>
  <c r="O20" i="4" s="1"/>
  <c r="A19" i="3"/>
  <c r="C18" i="3"/>
  <c r="T19" i="4" s="1"/>
  <c r="B18" i="3"/>
  <c r="O19" i="4" s="1"/>
  <c r="A18" i="3"/>
  <c r="C17" i="3"/>
  <c r="T18" i="4" s="1"/>
  <c r="B17" i="3"/>
  <c r="O18" i="4" s="1"/>
  <c r="A17" i="3"/>
  <c r="C16" i="3"/>
  <c r="T17" i="4" s="1"/>
  <c r="B16" i="3"/>
  <c r="O17" i="4" s="1"/>
  <c r="A16" i="3"/>
  <c r="C15" i="3"/>
  <c r="T16" i="4" s="1"/>
  <c r="B15" i="3"/>
  <c r="O16" i="4" s="1"/>
  <c r="A15" i="3"/>
  <c r="C14" i="3"/>
  <c r="T15" i="4" s="1"/>
  <c r="B14" i="3"/>
  <c r="O15" i="4" s="1"/>
  <c r="A14" i="3"/>
  <c r="C13" i="3"/>
  <c r="T14" i="4" s="1"/>
  <c r="B13" i="3"/>
  <c r="O14" i="4" s="1"/>
  <c r="A13" i="3"/>
  <c r="C12" i="3"/>
  <c r="T13" i="4" s="1"/>
  <c r="B12" i="3"/>
  <c r="O13" i="4" s="1"/>
  <c r="A12" i="3"/>
  <c r="C11" i="3"/>
  <c r="T12" i="4" s="1"/>
  <c r="B11" i="3"/>
  <c r="O12" i="4" s="1"/>
  <c r="A11" i="3"/>
  <c r="C10" i="3"/>
  <c r="T11" i="4" s="1"/>
  <c r="B10" i="3"/>
  <c r="O11" i="4" s="1"/>
  <c r="A10" i="3"/>
  <c r="C9" i="3"/>
  <c r="T10" i="4" s="1"/>
  <c r="B9" i="3"/>
  <c r="O10" i="4" s="1"/>
  <c r="A9" i="3"/>
  <c r="C8" i="3"/>
  <c r="T9" i="4" s="1"/>
  <c r="B8" i="3"/>
  <c r="O9" i="4" s="1"/>
  <c r="A8" i="3"/>
  <c r="C7" i="3"/>
  <c r="T8" i="4" s="1"/>
  <c r="B7" i="3"/>
  <c r="O8" i="4" s="1"/>
  <c r="A7" i="3"/>
  <c r="C6" i="3"/>
  <c r="T7" i="4" s="1"/>
  <c r="B6" i="3"/>
  <c r="O7" i="4" s="1"/>
  <c r="A6" i="3"/>
  <c r="C5" i="3"/>
  <c r="T6" i="4" s="1"/>
  <c r="B5" i="3"/>
  <c r="O6" i="4" s="1"/>
  <c r="A5" i="3"/>
  <c r="C4" i="3"/>
  <c r="T5" i="4" s="1"/>
  <c r="B4" i="3"/>
  <c r="O5" i="4" s="1"/>
  <c r="A4" i="3"/>
  <c r="C3" i="3"/>
  <c r="T4" i="4" s="1"/>
  <c r="B3" i="3"/>
  <c r="O4" i="4" s="1"/>
  <c r="A3" i="3"/>
  <c r="M41" i="6" l="1"/>
  <c r="F41" i="7"/>
  <c r="J41" i="6"/>
  <c r="D41" i="7"/>
  <c r="H41" i="6"/>
  <c r="C41" i="7"/>
  <c r="G41" i="6"/>
  <c r="E41" i="7"/>
  <c r="B41" i="6"/>
  <c r="M40" i="6"/>
  <c r="F40" i="7"/>
  <c r="J40" i="6"/>
  <c r="D40" i="7"/>
  <c r="H40" i="6"/>
  <c r="C40" i="7"/>
  <c r="G40" i="6"/>
  <c r="B40" i="6"/>
  <c r="M39" i="6"/>
  <c r="F39" i="7"/>
  <c r="K39" i="6"/>
  <c r="D39" i="7"/>
  <c r="H39" i="6"/>
  <c r="C39" i="7"/>
  <c r="G39" i="6"/>
  <c r="E39" i="7"/>
  <c r="B39" i="6"/>
  <c r="B39" i="7"/>
  <c r="M38" i="6"/>
  <c r="F38" i="7"/>
  <c r="J38" i="6"/>
  <c r="D38" i="7"/>
  <c r="H38" i="6"/>
  <c r="C38" i="7"/>
  <c r="G38" i="6"/>
  <c r="E38" i="7"/>
  <c r="B38" i="6"/>
  <c r="B38" i="7"/>
  <c r="M37" i="6"/>
  <c r="F37" i="7"/>
  <c r="F36" i="8" s="1"/>
  <c r="F38" i="9" s="1"/>
  <c r="J37" i="6"/>
  <c r="D37" i="7"/>
  <c r="D36" i="8" s="1"/>
  <c r="D38" i="9" s="1"/>
  <c r="H37" i="6"/>
  <c r="C37" i="7"/>
  <c r="C36" i="8" s="1"/>
  <c r="C38" i="9" s="1"/>
  <c r="G37" i="6"/>
  <c r="E37" i="7"/>
  <c r="B37" i="6"/>
  <c r="M36" i="6"/>
  <c r="F36" i="7"/>
  <c r="J36" i="6"/>
  <c r="D36" i="7"/>
  <c r="H36" i="6"/>
  <c r="C36" i="7"/>
  <c r="G36" i="6"/>
  <c r="B36" i="6"/>
  <c r="M35" i="6"/>
  <c r="F35" i="7"/>
  <c r="J35" i="6"/>
  <c r="D35" i="7"/>
  <c r="H35" i="6"/>
  <c r="C35" i="7"/>
  <c r="G35" i="6"/>
  <c r="B35" i="6"/>
  <c r="B35" i="7"/>
  <c r="M34" i="6"/>
  <c r="F34" i="7"/>
  <c r="J34" i="6"/>
  <c r="D34" i="7"/>
  <c r="H34" i="6"/>
  <c r="C34" i="7"/>
  <c r="G34" i="6"/>
  <c r="E34" i="7"/>
  <c r="B34" i="6"/>
  <c r="B34" i="7"/>
  <c r="M33" i="6"/>
  <c r="F33" i="7"/>
  <c r="J33" i="6"/>
  <c r="D33" i="7"/>
  <c r="H33" i="6"/>
  <c r="C33" i="7"/>
  <c r="G33" i="6"/>
  <c r="B33" i="6"/>
  <c r="M32" i="6"/>
  <c r="F32" i="7"/>
  <c r="J32" i="6"/>
  <c r="D32" i="7"/>
  <c r="H32" i="6"/>
  <c r="C32" i="7"/>
  <c r="G32" i="6"/>
  <c r="B32" i="6"/>
  <c r="M31" i="6"/>
  <c r="F31" i="7"/>
  <c r="J31" i="6"/>
  <c r="D31" i="7"/>
  <c r="H31" i="6"/>
  <c r="C31" i="7"/>
  <c r="G31" i="6"/>
  <c r="B31" i="6"/>
  <c r="M30" i="6"/>
  <c r="F30" i="7"/>
  <c r="J30" i="6"/>
  <c r="D30" i="7"/>
  <c r="H30" i="6"/>
  <c r="C30" i="7"/>
  <c r="G30" i="6"/>
  <c r="B30" i="6"/>
  <c r="B30" i="7"/>
  <c r="M29" i="6"/>
  <c r="F29" i="7"/>
  <c r="J29" i="6"/>
  <c r="D29" i="7"/>
  <c r="H29" i="6"/>
  <c r="C29" i="7"/>
  <c r="G29" i="6"/>
  <c r="E29" i="7"/>
  <c r="B29" i="6"/>
  <c r="M28" i="6"/>
  <c r="F28" i="7"/>
  <c r="J28" i="6"/>
  <c r="D28" i="7"/>
  <c r="H28" i="6"/>
  <c r="C28" i="7"/>
  <c r="G28" i="6"/>
  <c r="B28" i="6"/>
  <c r="M27" i="6"/>
  <c r="F27" i="7"/>
  <c r="J27" i="6"/>
  <c r="D27" i="7"/>
  <c r="H27" i="6"/>
  <c r="C27" i="7"/>
  <c r="G27" i="6"/>
  <c r="B27" i="6"/>
  <c r="M26" i="6"/>
  <c r="F26" i="7"/>
  <c r="J26" i="6"/>
  <c r="D26" i="7"/>
  <c r="H26" i="6"/>
  <c r="C26" i="7"/>
  <c r="G26" i="6"/>
  <c r="B26" i="6"/>
  <c r="M25" i="6"/>
  <c r="F25" i="7"/>
  <c r="J25" i="6"/>
  <c r="D25" i="7"/>
  <c r="H25" i="6"/>
  <c r="C25" i="7"/>
  <c r="G25" i="6"/>
  <c r="B25" i="6"/>
  <c r="B25" i="7"/>
  <c r="M24" i="6"/>
  <c r="F24" i="7"/>
  <c r="J24" i="6"/>
  <c r="D24" i="7"/>
  <c r="H24" i="6"/>
  <c r="C24" i="7"/>
  <c r="G24" i="6"/>
  <c r="B24" i="6"/>
  <c r="M23" i="6"/>
  <c r="F23" i="7"/>
  <c r="J23" i="6"/>
  <c r="D23" i="7"/>
  <c r="H23" i="6"/>
  <c r="C23" i="7"/>
  <c r="G23" i="6"/>
  <c r="B23" i="6"/>
  <c r="M22" i="6"/>
  <c r="F22" i="7"/>
  <c r="J22" i="6"/>
  <c r="D22" i="7"/>
  <c r="H22" i="6"/>
  <c r="C22" i="7"/>
  <c r="G22" i="6"/>
  <c r="B22" i="6"/>
  <c r="M21" i="6"/>
  <c r="F21" i="7"/>
  <c r="J21" i="6"/>
  <c r="D21" i="7"/>
  <c r="H21" i="6"/>
  <c r="C21" i="7"/>
  <c r="G21" i="6"/>
  <c r="B21" i="6"/>
  <c r="M20" i="6"/>
  <c r="F20" i="7"/>
  <c r="J20" i="6"/>
  <c r="D20" i="7"/>
  <c r="H20" i="6"/>
  <c r="C20" i="7"/>
  <c r="G20" i="6"/>
  <c r="B20" i="6"/>
  <c r="M19" i="6"/>
  <c r="F19" i="7"/>
  <c r="J19" i="6"/>
  <c r="D19" i="7"/>
  <c r="H19" i="6"/>
  <c r="C19" i="7"/>
  <c r="G19" i="6"/>
  <c r="B19" i="6"/>
  <c r="M18" i="6"/>
  <c r="F18" i="7"/>
  <c r="J18" i="6"/>
  <c r="D18" i="7"/>
  <c r="H18" i="6"/>
  <c r="C18" i="7"/>
  <c r="G18" i="6"/>
  <c r="E18" i="7"/>
  <c r="B18" i="6"/>
  <c r="B18" i="7"/>
  <c r="M17" i="6"/>
  <c r="F17" i="7"/>
  <c r="J17" i="6"/>
  <c r="D17" i="7"/>
  <c r="H17" i="6"/>
  <c r="C17" i="7"/>
  <c r="G17" i="6"/>
  <c r="B17" i="6"/>
  <c r="B17" i="7"/>
  <c r="M16" i="6"/>
  <c r="F16" i="7"/>
  <c r="J16" i="6"/>
  <c r="D16" i="7"/>
  <c r="H16" i="6"/>
  <c r="C16" i="7"/>
  <c r="G16" i="6"/>
  <c r="B16" i="6"/>
  <c r="M15" i="6"/>
  <c r="F15" i="7"/>
  <c r="J15" i="6"/>
  <c r="D15" i="7"/>
  <c r="H15" i="6"/>
  <c r="C15" i="7"/>
  <c r="G15" i="6"/>
  <c r="B15" i="6"/>
  <c r="M14" i="6"/>
  <c r="F14" i="7"/>
  <c r="J14" i="6"/>
  <c r="D14" i="7"/>
  <c r="H14" i="6"/>
  <c r="C14" i="7"/>
  <c r="G14" i="6"/>
  <c r="B14" i="6"/>
  <c r="M13" i="6"/>
  <c r="F13" i="7"/>
  <c r="J13" i="6"/>
  <c r="D13" i="7"/>
  <c r="H13" i="6"/>
  <c r="C13" i="7"/>
  <c r="G13" i="6"/>
  <c r="B13" i="6"/>
  <c r="M12" i="6"/>
  <c r="F12" i="7"/>
  <c r="J12" i="6"/>
  <c r="D12" i="7"/>
  <c r="H12" i="6"/>
  <c r="C12" i="7"/>
  <c r="G12" i="6"/>
  <c r="B12" i="6"/>
  <c r="M11" i="6"/>
  <c r="F11" i="7"/>
  <c r="J11" i="6"/>
  <c r="D11" i="7"/>
  <c r="H11" i="6"/>
  <c r="C11" i="7"/>
  <c r="G11" i="6"/>
  <c r="B11" i="6"/>
  <c r="M10" i="6"/>
  <c r="F10" i="7"/>
  <c r="J10" i="6"/>
  <c r="D10" i="7"/>
  <c r="H10" i="6"/>
  <c r="C10" i="7"/>
  <c r="G10" i="6"/>
  <c r="B10" i="6"/>
  <c r="M9" i="6"/>
  <c r="F9" i="7"/>
  <c r="J9" i="6"/>
  <c r="D9" i="7"/>
  <c r="H9" i="6"/>
  <c r="C9" i="7"/>
  <c r="G9" i="6"/>
  <c r="B9" i="6"/>
  <c r="B9" i="7"/>
  <c r="M8" i="6"/>
  <c r="F8" i="7"/>
  <c r="J8" i="6"/>
  <c r="D8" i="7"/>
  <c r="H8" i="6"/>
  <c r="C8" i="7"/>
  <c r="G8" i="6"/>
  <c r="B8" i="6"/>
  <c r="M7" i="6"/>
  <c r="F7" i="7"/>
  <c r="J7" i="6"/>
  <c r="D7" i="7"/>
  <c r="H7" i="6"/>
  <c r="C7" i="7"/>
  <c r="G7" i="6"/>
  <c r="B7" i="6"/>
  <c r="M6" i="6"/>
  <c r="F6" i="7"/>
  <c r="J6" i="6"/>
  <c r="D6" i="7"/>
  <c r="H6" i="6"/>
  <c r="C6" i="7"/>
  <c r="G6" i="6"/>
  <c r="E6" i="7"/>
  <c r="B6" i="6"/>
  <c r="M5" i="6"/>
  <c r="F5" i="7"/>
  <c r="J5" i="6"/>
  <c r="D5" i="7"/>
  <c r="H5" i="6"/>
  <c r="C5" i="7"/>
  <c r="G5" i="6"/>
  <c r="E5" i="7"/>
  <c r="B5" i="6"/>
  <c r="B5" i="7"/>
  <c r="M4" i="6"/>
  <c r="F4" i="7"/>
  <c r="J4" i="6"/>
  <c r="D4" i="7"/>
  <c r="H4" i="6"/>
  <c r="C4" i="7"/>
  <c r="G4" i="6"/>
  <c r="B4" i="6"/>
  <c r="J39" i="6"/>
  <c r="P41" i="6"/>
  <c r="O41" i="6"/>
  <c r="N41" i="6"/>
  <c r="L41" i="6"/>
  <c r="K41" i="6"/>
  <c r="I41" i="6"/>
  <c r="E41" i="6"/>
  <c r="C38" i="6"/>
  <c r="O37" i="6"/>
  <c r="L37" i="6"/>
  <c r="L29" i="6"/>
  <c r="O28" i="6"/>
  <c r="I28" i="6"/>
  <c r="P27" i="6"/>
  <c r="E27" i="6"/>
  <c r="F25" i="5"/>
  <c r="E26" i="7" s="1"/>
  <c r="D25" i="5"/>
  <c r="B26" i="7" s="1"/>
  <c r="L25" i="6"/>
  <c r="P24" i="6"/>
  <c r="O23" i="6"/>
  <c r="K17" i="6"/>
  <c r="N16" i="6"/>
  <c r="F8" i="5"/>
  <c r="E9" i="7" s="1"/>
  <c r="O7" i="6"/>
  <c r="F6" i="5"/>
  <c r="E7" i="7" s="1"/>
  <c r="P6" i="6"/>
  <c r="D5" i="5"/>
  <c r="B6" i="7" s="1"/>
  <c r="D40" i="5"/>
  <c r="B41" i="7" s="1"/>
  <c r="C41" i="6"/>
  <c r="P40" i="6"/>
  <c r="O40" i="6"/>
  <c r="N40" i="6"/>
  <c r="L40" i="6"/>
  <c r="K40" i="6"/>
  <c r="I40" i="6"/>
  <c r="F39" i="5"/>
  <c r="E40" i="7" s="1"/>
  <c r="E40" i="6"/>
  <c r="D39" i="5"/>
  <c r="B40" i="7" s="1"/>
  <c r="C40" i="6"/>
  <c r="P39" i="6"/>
  <c r="O39" i="6"/>
  <c r="N39" i="6"/>
  <c r="L39" i="6"/>
  <c r="I39" i="6"/>
  <c r="E39" i="6"/>
  <c r="C39" i="6"/>
  <c r="P38" i="6"/>
  <c r="O38" i="6"/>
  <c r="N38" i="6"/>
  <c r="L38" i="6"/>
  <c r="K38" i="6"/>
  <c r="I38" i="6"/>
  <c r="E38" i="6"/>
  <c r="P37" i="6"/>
  <c r="N37" i="6"/>
  <c r="K37" i="6"/>
  <c r="D28" i="5"/>
  <c r="B29" i="7" s="1"/>
  <c r="P28" i="6"/>
  <c r="C28" i="6"/>
  <c r="L27" i="6"/>
  <c r="O26" i="6"/>
  <c r="P25" i="6"/>
  <c r="K25" i="6"/>
  <c r="L24" i="6"/>
  <c r="F23" i="5"/>
  <c r="E24" i="7" s="1"/>
  <c r="C24" i="6"/>
  <c r="F22" i="5"/>
  <c r="E23" i="7" s="1"/>
  <c r="C23" i="6"/>
  <c r="E17" i="6"/>
  <c r="K16" i="6"/>
  <c r="P15" i="6"/>
  <c r="C9" i="6"/>
  <c r="D7" i="5"/>
  <c r="B8" i="7" s="1"/>
  <c r="L7" i="6"/>
  <c r="C7" i="6"/>
  <c r="E6" i="6"/>
  <c r="I37" i="6"/>
  <c r="F36" i="5"/>
  <c r="E37" i="6"/>
  <c r="D36" i="5"/>
  <c r="B37" i="7" s="1"/>
  <c r="C37" i="6"/>
  <c r="P36" i="6"/>
  <c r="O36" i="6"/>
  <c r="N36" i="6"/>
  <c r="L36" i="6"/>
  <c r="K36" i="6"/>
  <c r="I36" i="6"/>
  <c r="F35" i="5"/>
  <c r="E36" i="7" s="1"/>
  <c r="E36" i="6"/>
  <c r="D35" i="5"/>
  <c r="B36" i="7" s="1"/>
  <c r="C36" i="6"/>
  <c r="P35" i="6"/>
  <c r="O35" i="6"/>
  <c r="N35" i="6"/>
  <c r="L35" i="6"/>
  <c r="K35" i="6"/>
  <c r="I35" i="6"/>
  <c r="F34" i="5"/>
  <c r="E35" i="7" s="1"/>
  <c r="E35" i="6"/>
  <c r="D34" i="5"/>
  <c r="C35" i="6"/>
  <c r="P34" i="6"/>
  <c r="O34" i="6"/>
  <c r="N34" i="6"/>
  <c r="L34" i="6"/>
  <c r="K34" i="6"/>
  <c r="I34" i="6"/>
  <c r="F33" i="5"/>
  <c r="E34" i="6"/>
  <c r="D33" i="5"/>
  <c r="C34" i="6"/>
  <c r="P33" i="6"/>
  <c r="O30" i="6"/>
  <c r="L30" i="6"/>
  <c r="F29" i="5"/>
  <c r="E30" i="7" s="1"/>
  <c r="K29" i="6"/>
  <c r="E29" i="6"/>
  <c r="L28" i="6"/>
  <c r="E28" i="6"/>
  <c r="K27" i="6"/>
  <c r="C27" i="6"/>
  <c r="I26" i="6"/>
  <c r="O25" i="6"/>
  <c r="I25" i="6"/>
  <c r="O24" i="6"/>
  <c r="E24" i="6"/>
  <c r="L23" i="6"/>
  <c r="D22" i="5"/>
  <c r="B23" i="7" s="1"/>
  <c r="F16" i="5"/>
  <c r="E17" i="7" s="1"/>
  <c r="C17" i="6"/>
  <c r="D15" i="5"/>
  <c r="B16" i="7" s="1"/>
  <c r="E9" i="6"/>
  <c r="N7" i="6"/>
  <c r="D6" i="5"/>
  <c r="B7" i="7" s="1"/>
  <c r="N6" i="6"/>
  <c r="O33" i="6"/>
  <c r="N33" i="6"/>
  <c r="L33" i="6"/>
  <c r="K33" i="6"/>
  <c r="I33" i="6"/>
  <c r="F32" i="5"/>
  <c r="E33" i="7" s="1"/>
  <c r="E33" i="6"/>
  <c r="D32" i="5"/>
  <c r="B33" i="7" s="1"/>
  <c r="C33" i="6"/>
  <c r="P32" i="6"/>
  <c r="O32" i="6"/>
  <c r="N32" i="6"/>
  <c r="L32" i="6"/>
  <c r="K32" i="6"/>
  <c r="I32" i="6"/>
  <c r="F31" i="5"/>
  <c r="E32" i="7" s="1"/>
  <c r="E31" i="8" s="1"/>
  <c r="E33" i="9" s="1"/>
  <c r="E32" i="6"/>
  <c r="D31" i="5"/>
  <c r="B32" i="7" s="1"/>
  <c r="C32" i="6"/>
  <c r="P31" i="6"/>
  <c r="O31" i="6"/>
  <c r="N31" i="6"/>
  <c r="L31" i="6"/>
  <c r="K31" i="6"/>
  <c r="I31" i="6"/>
  <c r="F30" i="5"/>
  <c r="E31" i="7" s="1"/>
  <c r="E30" i="8" s="1"/>
  <c r="E32" i="9" s="1"/>
  <c r="E31" i="6"/>
  <c r="D30" i="5"/>
  <c r="B31" i="7" s="1"/>
  <c r="C31" i="6"/>
  <c r="P30" i="6"/>
  <c r="N30" i="6"/>
  <c r="K30" i="6"/>
  <c r="I30" i="6"/>
  <c r="E30" i="6"/>
  <c r="I29" i="6"/>
  <c r="N28" i="6"/>
  <c r="F27" i="5"/>
  <c r="E28" i="7" s="1"/>
  <c r="D27" i="5"/>
  <c r="B28" i="7" s="1"/>
  <c r="N27" i="6"/>
  <c r="F26" i="5"/>
  <c r="E27" i="7" s="1"/>
  <c r="D26" i="5"/>
  <c r="B27" i="7" s="1"/>
  <c r="N26" i="6"/>
  <c r="C26" i="6"/>
  <c r="F24" i="5"/>
  <c r="E25" i="7" s="1"/>
  <c r="E24" i="8" s="1"/>
  <c r="E26" i="9" s="1"/>
  <c r="E25" i="6"/>
  <c r="K24" i="6"/>
  <c r="D23" i="5"/>
  <c r="B24" i="7" s="1"/>
  <c r="N23" i="6"/>
  <c r="I23" i="6"/>
  <c r="D16" i="5"/>
  <c r="O16" i="6"/>
  <c r="I16" i="6"/>
  <c r="N15" i="6"/>
  <c r="L8" i="6"/>
  <c r="P7" i="6"/>
  <c r="E7" i="6"/>
  <c r="F5" i="5"/>
  <c r="C6" i="6"/>
  <c r="D4" i="5"/>
  <c r="D29" i="5"/>
  <c r="C30" i="6"/>
  <c r="P29" i="6"/>
  <c r="O29" i="6"/>
  <c r="N29" i="6"/>
  <c r="F28" i="5"/>
  <c r="C29" i="6"/>
  <c r="K28" i="6"/>
  <c r="O27" i="6"/>
  <c r="I27" i="6"/>
  <c r="P26" i="6"/>
  <c r="L26" i="6"/>
  <c r="N25" i="6"/>
  <c r="D24" i="5"/>
  <c r="N24" i="6"/>
  <c r="I24" i="6"/>
  <c r="K23" i="6"/>
  <c r="L17" i="6"/>
  <c r="L16" i="6"/>
  <c r="E16" i="6"/>
  <c r="D8" i="5"/>
  <c r="K8" i="6"/>
  <c r="I7" i="6"/>
  <c r="L6" i="6"/>
  <c r="O5" i="6"/>
  <c r="F4" i="5"/>
  <c r="K26" i="6"/>
  <c r="E26" i="6"/>
  <c r="C25" i="6"/>
  <c r="P23" i="6"/>
  <c r="E23" i="6"/>
  <c r="P16" i="6"/>
  <c r="O15" i="6"/>
  <c r="P8" i="6"/>
  <c r="C8" i="6"/>
  <c r="K6" i="6"/>
  <c r="P22" i="6"/>
  <c r="O22" i="6"/>
  <c r="N22" i="6"/>
  <c r="L22" i="6"/>
  <c r="K22" i="6"/>
  <c r="I22" i="6"/>
  <c r="F21" i="5"/>
  <c r="E22" i="7" s="1"/>
  <c r="E22" i="6"/>
  <c r="D21" i="5"/>
  <c r="B22" i="7" s="1"/>
  <c r="C22" i="6"/>
  <c r="P21" i="6"/>
  <c r="O21" i="6"/>
  <c r="N21" i="6"/>
  <c r="L21" i="6"/>
  <c r="K21" i="6"/>
  <c r="I21" i="6"/>
  <c r="F20" i="5"/>
  <c r="E21" i="7" s="1"/>
  <c r="E21" i="6"/>
  <c r="D20" i="5"/>
  <c r="B21" i="7" s="1"/>
  <c r="C21" i="6"/>
  <c r="P20" i="6"/>
  <c r="O20" i="6"/>
  <c r="N20" i="6"/>
  <c r="L20" i="6"/>
  <c r="K20" i="6"/>
  <c r="I20" i="6"/>
  <c r="F19" i="5"/>
  <c r="E20" i="7" s="1"/>
  <c r="E20" i="6"/>
  <c r="D19" i="5"/>
  <c r="B20" i="7" s="1"/>
  <c r="C20" i="6"/>
  <c r="P19" i="6"/>
  <c r="O19" i="6"/>
  <c r="N19" i="6"/>
  <c r="L19" i="6"/>
  <c r="K19" i="6"/>
  <c r="I19" i="6"/>
  <c r="F18" i="5"/>
  <c r="E19" i="7" s="1"/>
  <c r="D18" i="5"/>
  <c r="B19" i="7" s="1"/>
  <c r="C19" i="6"/>
  <c r="P18" i="6"/>
  <c r="O18" i="6"/>
  <c r="N18" i="6"/>
  <c r="L18" i="6"/>
  <c r="K18" i="6"/>
  <c r="I18" i="6"/>
  <c r="F17" i="5"/>
  <c r="E18" i="6"/>
  <c r="D17" i="5"/>
  <c r="C18" i="6"/>
  <c r="P17" i="6"/>
  <c r="O17" i="6"/>
  <c r="N17" i="6"/>
  <c r="I17" i="6"/>
  <c r="F15" i="5"/>
  <c r="E16" i="7" s="1"/>
  <c r="C16" i="6"/>
  <c r="N8" i="6"/>
  <c r="K7" i="6"/>
  <c r="I6" i="6"/>
  <c r="N5" i="6"/>
  <c r="L15" i="6"/>
  <c r="K15" i="6"/>
  <c r="I15" i="6"/>
  <c r="F14" i="5"/>
  <c r="E15" i="7" s="1"/>
  <c r="E15" i="6"/>
  <c r="D14" i="5"/>
  <c r="B15" i="7" s="1"/>
  <c r="C15" i="6"/>
  <c r="P14" i="6"/>
  <c r="O14" i="6"/>
  <c r="N14" i="6"/>
  <c r="L14" i="6"/>
  <c r="K14" i="6"/>
  <c r="I14" i="6"/>
  <c r="F13" i="5"/>
  <c r="E14" i="7" s="1"/>
  <c r="E14" i="6"/>
  <c r="D13" i="5"/>
  <c r="B14" i="7" s="1"/>
  <c r="C14" i="6"/>
  <c r="P13" i="6"/>
  <c r="O13" i="6"/>
  <c r="N13" i="6"/>
  <c r="L13" i="6"/>
  <c r="K13" i="6"/>
  <c r="I13" i="6"/>
  <c r="F12" i="5"/>
  <c r="E13" i="7" s="1"/>
  <c r="E12" i="8" s="1"/>
  <c r="E14" i="9" s="1"/>
  <c r="E13" i="6"/>
  <c r="D12" i="5"/>
  <c r="B13" i="7" s="1"/>
  <c r="C13" i="6"/>
  <c r="P12" i="6"/>
  <c r="O12" i="6"/>
  <c r="N12" i="6"/>
  <c r="L12" i="6"/>
  <c r="K12" i="6"/>
  <c r="I12" i="6"/>
  <c r="F11" i="5"/>
  <c r="E12" i="7" s="1"/>
  <c r="E12" i="6"/>
  <c r="D11" i="5"/>
  <c r="B12" i="7" s="1"/>
  <c r="C12" i="6"/>
  <c r="O11" i="6"/>
  <c r="N11" i="6"/>
  <c r="L11" i="6"/>
  <c r="K11" i="6"/>
  <c r="I11" i="6"/>
  <c r="F10" i="5"/>
  <c r="E11" i="7" s="1"/>
  <c r="E11" i="6"/>
  <c r="D10" i="5"/>
  <c r="B11" i="7" s="1"/>
  <c r="C11" i="6"/>
  <c r="P10" i="6"/>
  <c r="O10" i="6"/>
  <c r="N10" i="6"/>
  <c r="L10" i="6"/>
  <c r="K10" i="6"/>
  <c r="I10" i="6"/>
  <c r="F9" i="5"/>
  <c r="E10" i="7" s="1"/>
  <c r="E10" i="6"/>
  <c r="D9" i="5"/>
  <c r="B10" i="7" s="1"/>
  <c r="C10" i="6"/>
  <c r="P9" i="6"/>
  <c r="O9" i="6"/>
  <c r="N9" i="6"/>
  <c r="L9" i="6"/>
  <c r="K9" i="6"/>
  <c r="I9" i="6"/>
  <c r="O8" i="6"/>
  <c r="I8" i="6"/>
  <c r="O6" i="6"/>
  <c r="P5" i="6"/>
  <c r="F7" i="5"/>
  <c r="E8" i="7" s="1"/>
  <c r="L4" i="6"/>
  <c r="K4" i="6"/>
  <c r="I4" i="6"/>
  <c r="F3" i="5"/>
  <c r="E4" i="7" s="1"/>
  <c r="E4" i="6"/>
  <c r="D3" i="5"/>
  <c r="B4" i="7" s="1"/>
  <c r="C4" i="6"/>
  <c r="B40" i="8" l="1"/>
  <c r="B42" i="9" s="1"/>
  <c r="N42" i="9"/>
  <c r="B39" i="8"/>
  <c r="B41" i="9" s="1"/>
  <c r="N41" i="9"/>
  <c r="B38" i="8"/>
  <c r="B40" i="9" s="1"/>
  <c r="N40" i="9"/>
  <c r="N39" i="9"/>
  <c r="B37" i="8"/>
  <c r="B39" i="9" s="1"/>
  <c r="B36" i="8"/>
  <c r="B38" i="9" s="1"/>
  <c r="N38" i="9"/>
  <c r="B35" i="8"/>
  <c r="B37" i="9" s="1"/>
  <c r="N37" i="9"/>
  <c r="B34" i="8"/>
  <c r="B36" i="9" s="1"/>
  <c r="N36" i="9"/>
  <c r="B33" i="8"/>
  <c r="B35" i="9" s="1"/>
  <c r="N35" i="9"/>
  <c r="B32" i="8"/>
  <c r="B34" i="9" s="1"/>
  <c r="N34" i="9"/>
  <c r="B31" i="8"/>
  <c r="B33" i="9" s="1"/>
  <c r="G33" i="9" s="1"/>
  <c r="N33" i="9"/>
  <c r="N32" i="9"/>
  <c r="L32" i="9" s="1"/>
  <c r="B30" i="8"/>
  <c r="B32" i="9" s="1"/>
  <c r="N31" i="9"/>
  <c r="B29" i="8"/>
  <c r="B31" i="9" s="1"/>
  <c r="B28" i="8"/>
  <c r="B30" i="9" s="1"/>
  <c r="N30" i="9"/>
  <c r="B27" i="8"/>
  <c r="B29" i="9" s="1"/>
  <c r="N29" i="9"/>
  <c r="N28" i="9"/>
  <c r="B26" i="8"/>
  <c r="B28" i="9" s="1"/>
  <c r="N27" i="9"/>
  <c r="B25" i="8"/>
  <c r="B27" i="9" s="1"/>
  <c r="B24" i="8"/>
  <c r="B26" i="9" s="1"/>
  <c r="N26" i="9"/>
  <c r="B23" i="8"/>
  <c r="B25" i="9" s="1"/>
  <c r="N25" i="9"/>
  <c r="B22" i="8"/>
  <c r="B24" i="9" s="1"/>
  <c r="N24" i="9"/>
  <c r="N23" i="9"/>
  <c r="B21" i="8"/>
  <c r="B23" i="9" s="1"/>
  <c r="B20" i="8"/>
  <c r="B22" i="9" s="1"/>
  <c r="N22" i="9"/>
  <c r="N21" i="9"/>
  <c r="B19" i="8"/>
  <c r="B21" i="9" s="1"/>
  <c r="B18" i="8"/>
  <c r="B20" i="9" s="1"/>
  <c r="N20" i="9"/>
  <c r="N19" i="9"/>
  <c r="B17" i="8"/>
  <c r="B19" i="9" s="1"/>
  <c r="N18" i="9"/>
  <c r="B16" i="8"/>
  <c r="B18" i="9" s="1"/>
  <c r="N17" i="9"/>
  <c r="B15" i="8"/>
  <c r="B17" i="9" s="1"/>
  <c r="B14" i="8"/>
  <c r="B16" i="9" s="1"/>
  <c r="N16" i="9"/>
  <c r="N15" i="9"/>
  <c r="B13" i="8"/>
  <c r="B15" i="9" s="1"/>
  <c r="G15" i="9" s="1"/>
  <c r="B12" i="8"/>
  <c r="B14" i="9" s="1"/>
  <c r="N14" i="9"/>
  <c r="B11" i="8"/>
  <c r="B13" i="9" s="1"/>
  <c r="N13" i="9"/>
  <c r="B10" i="8"/>
  <c r="B12" i="9" s="1"/>
  <c r="G12" i="9" s="1"/>
  <c r="N12" i="9"/>
  <c r="B9" i="8"/>
  <c r="B11" i="9" s="1"/>
  <c r="N11" i="9"/>
  <c r="B8" i="8"/>
  <c r="B10" i="9" s="1"/>
  <c r="N10" i="9"/>
  <c r="B7" i="8"/>
  <c r="B9" i="9" s="1"/>
  <c r="N9" i="9"/>
  <c r="B6" i="8"/>
  <c r="B8" i="9" s="1"/>
  <c r="N8" i="9"/>
  <c r="B5" i="8"/>
  <c r="B7" i="9" s="1"/>
  <c r="N7" i="9"/>
  <c r="B4" i="8"/>
  <c r="B6" i="9" s="1"/>
  <c r="N6" i="9"/>
  <c r="B3" i="8"/>
  <c r="B5" i="9" s="1"/>
  <c r="N5" i="9"/>
  <c r="F38" i="6"/>
  <c r="F39" i="6"/>
  <c r="F41" i="6"/>
  <c r="F4" i="6"/>
  <c r="D38" i="6"/>
  <c r="D39" i="6"/>
  <c r="D4" i="6"/>
  <c r="F40" i="8"/>
  <c r="F42" i="9" s="1"/>
  <c r="D40" i="8"/>
  <c r="D42" i="9" s="1"/>
  <c r="C40" i="8"/>
  <c r="C42" i="9" s="1"/>
  <c r="E40" i="8"/>
  <c r="E42" i="9" s="1"/>
  <c r="F39" i="8"/>
  <c r="F41" i="9" s="1"/>
  <c r="D39" i="8"/>
  <c r="D41" i="9" s="1"/>
  <c r="C39" i="8"/>
  <c r="C41" i="9" s="1"/>
  <c r="F38" i="8"/>
  <c r="F40" i="9" s="1"/>
  <c r="D38" i="8"/>
  <c r="D40" i="9" s="1"/>
  <c r="C38" i="8"/>
  <c r="C40" i="9" s="1"/>
  <c r="E38" i="8"/>
  <c r="E40" i="9" s="1"/>
  <c r="F37" i="8"/>
  <c r="F39" i="9" s="1"/>
  <c r="D37" i="8"/>
  <c r="D39" i="9" s="1"/>
  <c r="C37" i="8"/>
  <c r="C39" i="9" s="1"/>
  <c r="E37" i="8"/>
  <c r="E39" i="9" s="1"/>
  <c r="F35" i="8"/>
  <c r="F37" i="9" s="1"/>
  <c r="D35" i="8"/>
  <c r="D37" i="9" s="1"/>
  <c r="C35" i="8"/>
  <c r="C37" i="9" s="1"/>
  <c r="F34" i="8"/>
  <c r="F36" i="9" s="1"/>
  <c r="D34" i="8"/>
  <c r="D36" i="9" s="1"/>
  <c r="C34" i="8"/>
  <c r="C36" i="9" s="1"/>
  <c r="F33" i="8"/>
  <c r="F35" i="9" s="1"/>
  <c r="D33" i="8"/>
  <c r="D35" i="9" s="1"/>
  <c r="C33" i="8"/>
  <c r="C35" i="9" s="1"/>
  <c r="E33" i="8"/>
  <c r="E35" i="9" s="1"/>
  <c r="F32" i="8"/>
  <c r="F34" i="9" s="1"/>
  <c r="D32" i="8"/>
  <c r="D34" i="9" s="1"/>
  <c r="C32" i="8"/>
  <c r="C34" i="9" s="1"/>
  <c r="F31" i="8"/>
  <c r="F33" i="9" s="1"/>
  <c r="D31" i="8"/>
  <c r="D33" i="9" s="1"/>
  <c r="C31" i="8"/>
  <c r="C33" i="9" s="1"/>
  <c r="D29" i="6"/>
  <c r="D36" i="6"/>
  <c r="D24" i="6"/>
  <c r="F30" i="8"/>
  <c r="F32" i="9" s="1"/>
  <c r="D30" i="8"/>
  <c r="D32" i="9" s="1"/>
  <c r="C30" i="8"/>
  <c r="C32" i="9" s="1"/>
  <c r="F29" i="8"/>
  <c r="F31" i="9" s="1"/>
  <c r="D29" i="8"/>
  <c r="D31" i="9" s="1"/>
  <c r="C29" i="8"/>
  <c r="C31" i="9" s="1"/>
  <c r="F28" i="8"/>
  <c r="F30" i="9" s="1"/>
  <c r="D28" i="8"/>
  <c r="D30" i="9" s="1"/>
  <c r="C28" i="8"/>
  <c r="C30" i="9" s="1"/>
  <c r="F27" i="8"/>
  <c r="F29" i="9" s="1"/>
  <c r="D27" i="8"/>
  <c r="D29" i="9" s="1"/>
  <c r="C27" i="8"/>
  <c r="C29" i="9" s="1"/>
  <c r="F26" i="8"/>
  <c r="F28" i="9" s="1"/>
  <c r="D26" i="8"/>
  <c r="D28" i="9" s="1"/>
  <c r="F21" i="8"/>
  <c r="F23" i="9" s="1"/>
  <c r="F17" i="8"/>
  <c r="F19" i="9" s="1"/>
  <c r="D17" i="8"/>
  <c r="D19" i="9" s="1"/>
  <c r="F7" i="8"/>
  <c r="F9" i="9" s="1"/>
  <c r="D7" i="8"/>
  <c r="D9" i="9" s="1"/>
  <c r="D6" i="6"/>
  <c r="D11" i="6"/>
  <c r="C26" i="8"/>
  <c r="C28" i="9" s="1"/>
  <c r="F25" i="8"/>
  <c r="F27" i="9" s="1"/>
  <c r="D25" i="8"/>
  <c r="D27" i="9" s="1"/>
  <c r="I27" i="9" s="1"/>
  <c r="C25" i="8"/>
  <c r="C27" i="9" s="1"/>
  <c r="F24" i="8"/>
  <c r="F26" i="9" s="1"/>
  <c r="D24" i="8"/>
  <c r="D26" i="9" s="1"/>
  <c r="C24" i="8"/>
  <c r="C26" i="9" s="1"/>
  <c r="F23" i="8"/>
  <c r="F25" i="9" s="1"/>
  <c r="D23" i="8"/>
  <c r="D25" i="9" s="1"/>
  <c r="C23" i="8"/>
  <c r="C25" i="9" s="1"/>
  <c r="F22" i="8"/>
  <c r="F24" i="9" s="1"/>
  <c r="D22" i="8"/>
  <c r="D24" i="9" s="1"/>
  <c r="C22" i="8"/>
  <c r="C24" i="9" s="1"/>
  <c r="F9" i="6"/>
  <c r="F7" i="6"/>
  <c r="F40" i="6"/>
  <c r="F35" i="6"/>
  <c r="D28" i="6"/>
  <c r="F19" i="6"/>
  <c r="F8" i="6"/>
  <c r="D21" i="8"/>
  <c r="D23" i="9" s="1"/>
  <c r="C21" i="8"/>
  <c r="C23" i="9" s="1"/>
  <c r="F20" i="8"/>
  <c r="F22" i="9" s="1"/>
  <c r="D20" i="8"/>
  <c r="D22" i="9" s="1"/>
  <c r="C20" i="8"/>
  <c r="C22" i="9" s="1"/>
  <c r="F19" i="8"/>
  <c r="F21" i="9" s="1"/>
  <c r="D19" i="8"/>
  <c r="D21" i="9" s="1"/>
  <c r="C19" i="8"/>
  <c r="C21" i="9" s="1"/>
  <c r="F18" i="8"/>
  <c r="F20" i="9" s="1"/>
  <c r="D18" i="8"/>
  <c r="D20" i="9" s="1"/>
  <c r="C18" i="8"/>
  <c r="C20" i="9" s="1"/>
  <c r="C17" i="8"/>
  <c r="C19" i="9" s="1"/>
  <c r="C3" i="8"/>
  <c r="C5" i="9" s="1"/>
  <c r="F26" i="6"/>
  <c r="D31" i="6"/>
  <c r="F10" i="6"/>
  <c r="D10" i="6"/>
  <c r="F16" i="8"/>
  <c r="F18" i="9" s="1"/>
  <c r="D16" i="8"/>
  <c r="D18" i="9" s="1"/>
  <c r="C16" i="8"/>
  <c r="C18" i="9" s="1"/>
  <c r="F15" i="8"/>
  <c r="F17" i="9" s="1"/>
  <c r="D15" i="8"/>
  <c r="D17" i="9" s="1"/>
  <c r="C15" i="8"/>
  <c r="C17" i="9" s="1"/>
  <c r="F14" i="8"/>
  <c r="F16" i="9" s="1"/>
  <c r="D14" i="8"/>
  <c r="D16" i="9" s="1"/>
  <c r="C14" i="8"/>
  <c r="C16" i="9" s="1"/>
  <c r="F13" i="8"/>
  <c r="F15" i="9" s="1"/>
  <c r="D13" i="8"/>
  <c r="D15" i="9" s="1"/>
  <c r="C13" i="8"/>
  <c r="C15" i="9" s="1"/>
  <c r="F12" i="8"/>
  <c r="F14" i="9" s="1"/>
  <c r="D12" i="8"/>
  <c r="D14" i="9" s="1"/>
  <c r="C12" i="8"/>
  <c r="C14" i="9" s="1"/>
  <c r="C7" i="8"/>
  <c r="C9" i="9" s="1"/>
  <c r="D40" i="6"/>
  <c r="F24" i="6"/>
  <c r="F37" i="6"/>
  <c r="F36" i="6"/>
  <c r="D32" i="6"/>
  <c r="F25" i="6"/>
  <c r="F11" i="8"/>
  <c r="F13" i="9" s="1"/>
  <c r="D11" i="8"/>
  <c r="D13" i="9" s="1"/>
  <c r="C11" i="8"/>
  <c r="C13" i="9" s="1"/>
  <c r="F10" i="8"/>
  <c r="F12" i="9" s="1"/>
  <c r="D10" i="8"/>
  <c r="D12" i="9" s="1"/>
  <c r="I12" i="9" s="1"/>
  <c r="C10" i="8"/>
  <c r="C12" i="9" s="1"/>
  <c r="H12" i="9" s="1"/>
  <c r="F9" i="8"/>
  <c r="F11" i="9" s="1"/>
  <c r="K11" i="9" s="1"/>
  <c r="D9" i="8"/>
  <c r="D11" i="9" s="1"/>
  <c r="C9" i="8"/>
  <c r="C11" i="9" s="1"/>
  <c r="F8" i="8"/>
  <c r="F10" i="9" s="1"/>
  <c r="D8" i="8"/>
  <c r="D10" i="9" s="1"/>
  <c r="C8" i="8"/>
  <c r="C10" i="9" s="1"/>
  <c r="D3" i="8"/>
  <c r="D5" i="9" s="1"/>
  <c r="D26" i="6"/>
  <c r="D41" i="6"/>
  <c r="D37" i="6"/>
  <c r="D33" i="6"/>
  <c r="F32" i="6"/>
  <c r="F31" i="6"/>
  <c r="F28" i="6"/>
  <c r="F27" i="6"/>
  <c r="D19" i="6"/>
  <c r="F6" i="8"/>
  <c r="F8" i="9" s="1"/>
  <c r="D6" i="8"/>
  <c r="D8" i="9" s="1"/>
  <c r="C6" i="8"/>
  <c r="C8" i="9" s="1"/>
  <c r="F5" i="8"/>
  <c r="F7" i="9" s="1"/>
  <c r="D5" i="8"/>
  <c r="D7" i="9" s="1"/>
  <c r="C5" i="8"/>
  <c r="C7" i="9" s="1"/>
  <c r="F4" i="8"/>
  <c r="F6" i="9" s="1"/>
  <c r="D4" i="8"/>
  <c r="D6" i="9" s="1"/>
  <c r="C4" i="8"/>
  <c r="C6" i="9" s="1"/>
  <c r="F3" i="8"/>
  <c r="F5" i="9" s="1"/>
  <c r="F23" i="6"/>
  <c r="D8" i="6"/>
  <c r="D20" i="6"/>
  <c r="D35" i="6"/>
  <c r="F34" i="6"/>
  <c r="D34" i="6"/>
  <c r="F30" i="6"/>
  <c r="D23" i="6"/>
  <c r="F17" i="6"/>
  <c r="D16" i="6"/>
  <c r="D7" i="6"/>
  <c r="F33" i="6"/>
  <c r="D27" i="6"/>
  <c r="D17" i="6"/>
  <c r="F6" i="6"/>
  <c r="D5" i="6"/>
  <c r="D30" i="6"/>
  <c r="F29" i="6"/>
  <c r="D25" i="6"/>
  <c r="D9" i="6"/>
  <c r="F5" i="6"/>
  <c r="F22" i="6"/>
  <c r="D22" i="6"/>
  <c r="F21" i="6"/>
  <c r="D21" i="6"/>
  <c r="F20" i="6"/>
  <c r="F18" i="6"/>
  <c r="D18" i="6"/>
  <c r="F16" i="6"/>
  <c r="F15" i="6"/>
  <c r="D15" i="6"/>
  <c r="F14" i="6"/>
  <c r="D14" i="6"/>
  <c r="F13" i="6"/>
  <c r="D13" i="6"/>
  <c r="F12" i="6"/>
  <c r="D12" i="6"/>
  <c r="F11" i="6"/>
  <c r="E36" i="8"/>
  <c r="E38" i="9" s="1"/>
  <c r="E4" i="8"/>
  <c r="E6" i="9" s="1"/>
  <c r="E5" i="8"/>
  <c r="E7" i="9" s="1"/>
  <c r="E17" i="8"/>
  <c r="E19" i="9" s="1"/>
  <c r="E28" i="8"/>
  <c r="E30" i="9" s="1"/>
  <c r="E3" i="8"/>
  <c r="E5" i="9" s="1"/>
  <c r="E34" i="8"/>
  <c r="E36" i="9" s="1"/>
  <c r="E25" i="8"/>
  <c r="E27" i="9" s="1"/>
  <c r="E8" i="8"/>
  <c r="E10" i="9" s="1"/>
  <c r="J10" i="9" s="1"/>
  <c r="E6" i="8"/>
  <c r="E8" i="9" s="1"/>
  <c r="J8" i="9" s="1"/>
  <c r="E23" i="8"/>
  <c r="E25" i="9" s="1"/>
  <c r="E22" i="8"/>
  <c r="E24" i="9" s="1"/>
  <c r="E29" i="8"/>
  <c r="E31" i="9" s="1"/>
  <c r="E16" i="8"/>
  <c r="E18" i="9" s="1"/>
  <c r="E32" i="8"/>
  <c r="E34" i="9" s="1"/>
  <c r="E27" i="8"/>
  <c r="E29" i="9" s="1"/>
  <c r="E26" i="8"/>
  <c r="E28" i="9" s="1"/>
  <c r="E21" i="8"/>
  <c r="E23" i="9" s="1"/>
  <c r="E20" i="8"/>
  <c r="E22" i="9" s="1"/>
  <c r="E19" i="8"/>
  <c r="E21" i="9" s="1"/>
  <c r="E18" i="8"/>
  <c r="E20" i="9" s="1"/>
  <c r="E15" i="8"/>
  <c r="E17" i="9" s="1"/>
  <c r="E14" i="8"/>
  <c r="E16" i="9" s="1"/>
  <c r="E13" i="8"/>
  <c r="E15" i="9" s="1"/>
  <c r="E11" i="8"/>
  <c r="E13" i="9" s="1"/>
  <c r="E10" i="8"/>
  <c r="E12" i="9" s="1"/>
  <c r="E9" i="8"/>
  <c r="E11" i="9" s="1"/>
  <c r="E7" i="8"/>
  <c r="E9" i="9" s="1"/>
  <c r="E39" i="8"/>
  <c r="E41" i="9" s="1"/>
  <c r="E35" i="8"/>
  <c r="E37" i="9" s="1"/>
  <c r="H38" i="9" l="1"/>
  <c r="H5" i="9"/>
  <c r="I38" i="9"/>
  <c r="I5" i="9"/>
  <c r="K38" i="9"/>
  <c r="K5" i="9"/>
  <c r="J14" i="9"/>
  <c r="J33" i="9"/>
  <c r="J32" i="9"/>
  <c r="J26" i="9"/>
  <c r="J5" i="9"/>
  <c r="G42" i="9"/>
  <c r="L42" i="9"/>
  <c r="G41" i="9"/>
  <c r="L41" i="9"/>
  <c r="G40" i="9"/>
  <c r="L40" i="9"/>
  <c r="L39" i="9"/>
  <c r="M39" i="9" s="1"/>
  <c r="G39" i="9"/>
  <c r="G38" i="9"/>
  <c r="L38" i="9"/>
  <c r="G37" i="9"/>
  <c r="L37" i="9"/>
  <c r="G36" i="9"/>
  <c r="L36" i="9"/>
  <c r="G35" i="9"/>
  <c r="L35" i="9"/>
  <c r="G34" i="9"/>
  <c r="L34" i="9"/>
  <c r="L33" i="9"/>
  <c r="I35" i="9"/>
  <c r="I31" i="9"/>
  <c r="K29" i="9"/>
  <c r="H26" i="9"/>
  <c r="K18" i="9"/>
  <c r="I13" i="9"/>
  <c r="J6" i="9"/>
  <c r="G32" i="9"/>
  <c r="L31" i="9"/>
  <c r="G31" i="9"/>
  <c r="G30" i="9"/>
  <c r="L30" i="9"/>
  <c r="G29" i="9"/>
  <c r="L29" i="9"/>
  <c r="L28" i="9"/>
  <c r="G28" i="9"/>
  <c r="L27" i="9"/>
  <c r="G27" i="9"/>
  <c r="G26" i="9"/>
  <c r="L26" i="9"/>
  <c r="G25" i="9"/>
  <c r="L25" i="9"/>
  <c r="G24" i="9"/>
  <c r="L24" i="9"/>
  <c r="L23" i="9"/>
  <c r="G23" i="9"/>
  <c r="G22" i="9"/>
  <c r="G14" i="9"/>
  <c r="L14" i="9"/>
  <c r="G13" i="9"/>
  <c r="L13" i="9"/>
  <c r="K42" i="9"/>
  <c r="H42" i="9"/>
  <c r="H32" i="9"/>
  <c r="I30" i="9"/>
  <c r="I26" i="9"/>
  <c r="I24" i="9"/>
  <c r="J30" i="9"/>
  <c r="L22" i="9"/>
  <c r="L21" i="9"/>
  <c r="G21" i="9"/>
  <c r="G20" i="9"/>
  <c r="L20" i="9"/>
  <c r="L19" i="9"/>
  <c r="G19" i="9"/>
  <c r="L18" i="9"/>
  <c r="G18" i="9"/>
  <c r="L17" i="9"/>
  <c r="G17" i="9"/>
  <c r="G16" i="9"/>
  <c r="L16" i="9"/>
  <c r="L15" i="9"/>
  <c r="I29" i="9"/>
  <c r="H25" i="9"/>
  <c r="I18" i="9"/>
  <c r="H13" i="9"/>
  <c r="L12" i="9"/>
  <c r="G11" i="9"/>
  <c r="L11" i="9"/>
  <c r="G10" i="9"/>
  <c r="L10" i="9"/>
  <c r="G9" i="9"/>
  <c r="L9" i="9"/>
  <c r="G8" i="9"/>
  <c r="L8" i="9"/>
  <c r="G7" i="9"/>
  <c r="L7" i="9"/>
  <c r="G6" i="9"/>
  <c r="L6" i="9"/>
  <c r="G5" i="9"/>
  <c r="L5" i="9"/>
  <c r="I42" i="9"/>
  <c r="J42" i="9"/>
  <c r="K31" i="9"/>
  <c r="H30" i="9"/>
  <c r="K26" i="9"/>
  <c r="K24" i="9"/>
  <c r="K17" i="9"/>
  <c r="J36" i="9"/>
  <c r="K41" i="9"/>
  <c r="I41" i="9"/>
  <c r="H41" i="9"/>
  <c r="K40" i="9"/>
  <c r="I40" i="9"/>
  <c r="H40" i="9"/>
  <c r="J40" i="9"/>
  <c r="K39" i="9"/>
  <c r="I39" i="9"/>
  <c r="H39" i="9"/>
  <c r="J39" i="9"/>
  <c r="K37" i="9"/>
  <c r="I37" i="9"/>
  <c r="H37" i="9"/>
  <c r="K36" i="9"/>
  <c r="I36" i="9"/>
  <c r="H36" i="9"/>
  <c r="K35" i="9"/>
  <c r="H35" i="9"/>
  <c r="H31" i="9"/>
  <c r="H29" i="9"/>
  <c r="K25" i="9"/>
  <c r="H24" i="9"/>
  <c r="J35" i="9"/>
  <c r="K34" i="9"/>
  <c r="I34" i="9"/>
  <c r="H34" i="9"/>
  <c r="K33" i="9"/>
  <c r="I33" i="9"/>
  <c r="H33" i="9"/>
  <c r="K32" i="9"/>
  <c r="I32" i="9"/>
  <c r="K30" i="9"/>
  <c r="H27" i="9"/>
  <c r="I25" i="9"/>
  <c r="H18" i="9"/>
  <c r="K12" i="9"/>
  <c r="J38" i="9"/>
  <c r="K28" i="9"/>
  <c r="I28" i="9"/>
  <c r="K23" i="9"/>
  <c r="K19" i="9"/>
  <c r="I19" i="9"/>
  <c r="K9" i="9"/>
  <c r="I9" i="9"/>
  <c r="H28" i="9"/>
  <c r="K27" i="9"/>
  <c r="I23" i="9"/>
  <c r="H23" i="9"/>
  <c r="K22" i="9"/>
  <c r="I22" i="9"/>
  <c r="H22" i="9"/>
  <c r="K21" i="9"/>
  <c r="I21" i="9"/>
  <c r="H21" i="9"/>
  <c r="K20" i="9"/>
  <c r="I20" i="9"/>
  <c r="H20" i="9"/>
  <c r="H19" i="9"/>
  <c r="I17" i="9"/>
  <c r="H17" i="9"/>
  <c r="K16" i="9"/>
  <c r="I16" i="9"/>
  <c r="H16" i="9"/>
  <c r="K15" i="9"/>
  <c r="I15" i="9"/>
  <c r="H15" i="9"/>
  <c r="K14" i="9"/>
  <c r="I14" i="9"/>
  <c r="H14" i="9"/>
  <c r="H9" i="9"/>
  <c r="K13" i="9"/>
  <c r="J27" i="9"/>
  <c r="I11" i="9"/>
  <c r="H11" i="9"/>
  <c r="K10" i="9"/>
  <c r="I10" i="9"/>
  <c r="H10" i="9"/>
  <c r="K8" i="9"/>
  <c r="I8" i="9"/>
  <c r="H8" i="9"/>
  <c r="K7" i="9"/>
  <c r="I7" i="9"/>
  <c r="H7" i="9"/>
  <c r="K6" i="9"/>
  <c r="I6" i="9"/>
  <c r="H6" i="9"/>
  <c r="J7" i="9"/>
  <c r="J19" i="9"/>
  <c r="J25" i="9"/>
  <c r="J24" i="9"/>
  <c r="J31" i="9"/>
  <c r="J18" i="9"/>
  <c r="J34" i="9"/>
  <c r="J29" i="9"/>
  <c r="J28" i="9"/>
  <c r="J23" i="9"/>
  <c r="J22" i="9"/>
  <c r="J21" i="9"/>
  <c r="J20" i="9"/>
  <c r="J17" i="9"/>
  <c r="J16" i="9"/>
  <c r="J15" i="9"/>
  <c r="J13" i="9"/>
  <c r="J12" i="9"/>
  <c r="J11" i="9"/>
  <c r="J9" i="9"/>
  <c r="J41" i="9"/>
  <c r="J37" i="9"/>
  <c r="M32" i="9" l="1"/>
  <c r="M5" i="9"/>
  <c r="M38" i="9"/>
  <c r="M37" i="9"/>
  <c r="M36" i="9"/>
  <c r="M35" i="9"/>
  <c r="M34" i="9"/>
  <c r="M33" i="9"/>
  <c r="M31" i="9"/>
  <c r="M30" i="9"/>
  <c r="M29" i="9"/>
  <c r="M28" i="9"/>
  <c r="M27" i="9"/>
  <c r="M13" i="9"/>
  <c r="M26" i="9"/>
  <c r="M25" i="9"/>
  <c r="M24" i="9"/>
  <c r="M23" i="9"/>
  <c r="M14" i="9"/>
  <c r="M22" i="9"/>
  <c r="M21" i="9"/>
  <c r="M20" i="9"/>
  <c r="M19" i="9"/>
  <c r="M18" i="9"/>
  <c r="M17" i="9"/>
  <c r="M16" i="9"/>
  <c r="M15" i="9"/>
  <c r="M12" i="9"/>
  <c r="M11" i="9"/>
  <c r="M10" i="9"/>
  <c r="M9" i="9"/>
  <c r="M8" i="9"/>
  <c r="M7" i="9"/>
  <c r="M6" i="9"/>
  <c r="M41" i="9"/>
  <c r="M40" i="9"/>
  <c r="M42" i="9"/>
</calcChain>
</file>

<file path=xl/sharedStrings.xml><?xml version="1.0" encoding="utf-8"?>
<sst xmlns="http://schemas.openxmlformats.org/spreadsheetml/2006/main" count="213" uniqueCount="140">
  <si>
    <t>International Tax Competitiveness Index — Working Excel Calculator</t>
  </si>
  <si>
    <t>Replicates the Tax Foundation's ITCI scoring methodology (github.com/TaxFoundation/international-tax-competitiveness-index, R_code_files/08_index_calculations.R) as live, formula-driven Excel sheets — no VBA, no add-ins. Entirely closed-form (z-scores, averages, min/max rescale); no eigen-decomposition or iterative engine needed anywhere.</t>
  </si>
  <si>
    <t>Color legend</t>
  </si>
  <si>
    <t xml:space="preserve">  Amber cells = GIVEN (2025 ITCI input data, from the Tax Foundation's own repo)</t>
  </si>
  <si>
    <t xml:space="preserve">  Teal cells  = LIVE (formulas; recalculate automatically)</t>
  </si>
  <si>
    <t>Validated</t>
  </si>
  <si>
    <t xml:space="preserve">  Every stage (subcategories, categories, final score) matches the Tax Foundation's own real 2025 ground-truth output files to floating-point precision (&lt;1e-13) for all 38 countries — see itci_core.py and scratch/validate.py in the companion Python project. Two real bugs were caught and fixed during validation: (1) corporate_other_rev/personal_other_rev need ABS() before z-scoring (Sweden has a negative personal_other_rev, off by 0.33/100 without the fix), and (2) categories must be computed from the RAW (pre-rescale) subcategory z-averages, not the rescaled 0-100 subcategory values — confirmed empirically against categories_score.csv since the R script reuses one variable name for both versions, making it ambiguous from the code alone.</t>
  </si>
  <si>
    <t>Pipeline</t>
  </si>
  <si>
    <t xml:space="preserve">  1. ZScores: z = (x-AVERAGE)/STDEV across the 38-country cross-section, per variable. corporate_other_rev/personal_other_rev use ABS(x) first. 30 "higher=worse" variables (rates, surtaxes, withholding taxes, restrictive rules) then multiplied by -1.</t>
  </si>
  <si>
    <t xml:space="preserve">  2. Subcategories: equal-weighted average of the relevant z-scores, one column per subcategory (15 total).</t>
  </si>
  <si>
    <t xml:space="preserve">  3. SubcategoriesScored: score2() rescale — shift so MIN becomes 1, scale so MAX becomes 100 — applied independently to each subcategory.</t>
  </si>
  <si>
    <t xml:space="preserve">  4. Categories: equal-weighted average of the RAW (pre-score2) subcategory scores, one column per category (5 total: corporate, consumption, property, income, cross_border).</t>
  </si>
  <si>
    <t xml:space="preserve">  5. CategoriesScored: score2() rescale, same as step 3.</t>
  </si>
  <si>
    <t xml:space="preserve">  6. Results: final score = score2(average of the 5 RAW category scores). Category and final RANKs via RANK() (descending — rank 1 = most competitive). Bar chart of final scores by country.</t>
  </si>
  <si>
    <t>Replacing the data</t>
  </si>
  <si>
    <t xml:space="preserve">  Overwrite the amber GIVEN cells on RawData with updated variable values (same 38 countries, or add/remove rows). Everything downstream — z-scores, subcategories, categories, final score, ranks, chart — recalculates automatically. This is exactly how the Tax Foundation's own repo supports testing tax-reform scenarios (README: "modify tax variables ... re-run ... compare against baseline").</t>
  </si>
  <si>
    <t>Raw Data (GIVEN) — 38 countries x 42 variables, 2025 ITCI input data</t>
  </si>
  <si>
    <t>country</t>
  </si>
  <si>
    <t>corporate_rate</t>
  </si>
  <si>
    <t>loss_carryback</t>
  </si>
  <si>
    <t>loss_carryforward</t>
  </si>
  <si>
    <t>machines_cost_recovery</t>
  </si>
  <si>
    <t>buildings_cost_recovery</t>
  </si>
  <si>
    <t>intangibles_cost_recovery</t>
  </si>
  <si>
    <t>inventory</t>
  </si>
  <si>
    <t>allowance_corporate_equity</t>
  </si>
  <si>
    <t>patent_box</t>
  </si>
  <si>
    <t>r_and_d_credit</t>
  </si>
  <si>
    <t>digital_services_tax</t>
  </si>
  <si>
    <t>corporate_alt_minimum</t>
  </si>
  <si>
    <t>corporate_surtax</t>
  </si>
  <si>
    <t>corporate_other_rev</t>
  </si>
  <si>
    <t>top_income_rate</t>
  </si>
  <si>
    <t>threshold_top_income_rate</t>
  </si>
  <si>
    <t>tax_wedge</t>
  </si>
  <si>
    <t>personal_surtax</t>
  </si>
  <si>
    <t>personal_other_rev</t>
  </si>
  <si>
    <t>capital_gains_rate</t>
  </si>
  <si>
    <t>dividends_rate</t>
  </si>
  <si>
    <t>vat_rate</t>
  </si>
  <si>
    <t>vat_threshold</t>
  </si>
  <si>
    <t>vat_base</t>
  </si>
  <si>
    <t>property_tax</t>
  </si>
  <si>
    <t>property_tax_collections</t>
  </si>
  <si>
    <t>net_wealth</t>
  </si>
  <si>
    <t>estate_or_inheritance_tax</t>
  </si>
  <si>
    <t>transfer_tax</t>
  </si>
  <si>
    <t>asset_tax</t>
  </si>
  <si>
    <t>capital_duties</t>
  </si>
  <si>
    <t>financial_transaction_tax</t>
  </si>
  <si>
    <t>dividends_exemption</t>
  </si>
  <si>
    <t>capital_gains_exemption</t>
  </si>
  <si>
    <t>country_limitations</t>
  </si>
  <si>
    <t>dividends_withholding_tax</t>
  </si>
  <si>
    <t>interest_withholding_tax</t>
  </si>
  <si>
    <t>royalties_withholding_tax</t>
  </si>
  <si>
    <t>tax_treaties</t>
  </si>
  <si>
    <t>cfc_rules</t>
  </si>
  <si>
    <t>thin_capitalization_rules</t>
  </si>
  <si>
    <t>minimum_tax</t>
  </si>
  <si>
    <t>Austria</t>
  </si>
  <si>
    <t>Australia</t>
  </si>
  <si>
    <t>Belgium</t>
  </si>
  <si>
    <t>Canada</t>
  </si>
  <si>
    <t>Switzerland</t>
  </si>
  <si>
    <t>Chile</t>
  </si>
  <si>
    <t>Colombia</t>
  </si>
  <si>
    <t>Costa Rica</t>
  </si>
  <si>
    <t>Czech Republic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</si>
  <si>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</si>
  <si>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</si>
  <si>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</si>
  <si>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</si>
  <si>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</si>
  <si>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</si>
  <si>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</si>
  <si>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</si>
  <si>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Hungary</t>
  </si>
  <si>
    <t>Ireland</t>
  </si>
  <si>
    <t>Israel</t>
  </si>
  <si>
    <t>Iceland</t>
  </si>
  <si>
    <t>Italy</t>
  </si>
  <si>
    <t>Japan</t>
  </si>
  <si>
    <t>Korea</t>
  </si>
  <si>
    <t>Lithuania</t>
  </si>
  <si>
    <t>Luxembourg</t>
  </si>
  <si>
    <t>Latvia</t>
  </si>
  <si>
    <t>Mexico</t>
  </si>
  <si>
    <t>Netherlands</t>
  </si>
  <si>
    <t>Norway</t>
  </si>
  <si>
    <t>New Zealand</t>
  </si>
  <si>
    <t>Poland</t>
  </si>
  <si>
    <t>Portugal</t>
  </si>
  <si>
    <t>Sweden</t>
  </si>
  <si>
    <t>Slovenia</t>
  </si>
  <si>
    <t>Slovak Republic</t>
  </si>
  <si>
    <t>Turkey</t>
  </si>
  <si>
    <t>United States</t>
  </si>
  <si>
    <t>ABS() of corporate_other_rev / personal_other_rev (LIVE)</t>
  </si>
  <si>
    <t>Z-Scores (LIVE)</t>
  </si>
  <si>
    <t>z = (x - AVERAGE) / STDEV, across the country cross-section. corporate_other_rev/personal_other_rev use ABS(x) first (can be recorded as a negative revenue-impact figure). 30 variables then sign-flipped (*-1) so a higher z-score always means more competitive.</t>
  </si>
  <si>
    <t>Subcategories — RAW (pre-rescale) Equal-Weighted Averages (LIVE)</t>
  </si>
  <si>
    <t>cost_recovery</t>
  </si>
  <si>
    <t>incentives</t>
  </si>
  <si>
    <t>income_tax</t>
  </si>
  <si>
    <t>income_tax_complexity</t>
  </si>
  <si>
    <t>capital_gains_and_dividends</t>
  </si>
  <si>
    <t>consumption_tax_rate</t>
  </si>
  <si>
    <t>consumption_tax_base</t>
  </si>
  <si>
    <t>real_property_tax</t>
  </si>
  <si>
    <t>wealth_taxes</t>
  </si>
  <si>
    <t>capital_taxes</t>
  </si>
  <si>
    <t>territorial</t>
  </si>
  <si>
    <t>withholding_taxes</t>
  </si>
  <si>
    <t>international_regulations</t>
  </si>
  <si>
    <t>Subcategories — Rescaled to 0-100 (LIVE)</t>
  </si>
  <si>
    <t>score2(x): shift so MIN becomes 1 (eliminates negatives), then scale so MAX becomes 100.</t>
  </si>
  <si>
    <t>Categories — RAW (pre-rescale) Equal-Weighted Averages (LIVE)</t>
  </si>
  <si>
    <t>Uses the RAW (pre-score2) Subcategories sheet, not SubcategoriesScored — validated against the Tax Foundation's own categories_score.csv.</t>
  </si>
  <si>
    <t>corporate</t>
  </si>
  <si>
    <t>consumption</t>
  </si>
  <si>
    <t>property</t>
  </si>
  <si>
    <t>income</t>
  </si>
  <si>
    <t>cross_border</t>
  </si>
  <si>
    <t>Categories — Rescaled to 0-100 (LIVE)</t>
  </si>
  <si>
    <t>Results — Final Score and Ranking (LIVE)</t>
  </si>
  <si>
    <t>Final = score2(AVERAGE of the 5 RAW (pre-rescale) category scores).</t>
  </si>
  <si>
    <t>corporate score</t>
  </si>
  <si>
    <t>consumption score</t>
  </si>
  <si>
    <t>property score</t>
  </si>
  <si>
    <t>income score</t>
  </si>
  <si>
    <t>cross_border score</t>
  </si>
  <si>
    <t>corporate rank</t>
  </si>
  <si>
    <t>consumption rank</t>
  </si>
  <si>
    <t>property rank</t>
  </si>
  <si>
    <t>income rank</t>
  </si>
  <si>
    <t>cross_border rank</t>
  </si>
  <si>
    <t>final score</t>
  </si>
  <si>
    <t>final rank</t>
  </si>
  <si>
    <t>final_raw (helper)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</si>
</sst>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rgb="FFA8671B"/>
      <name val="Calibri"/>
    </font>
    <font>
      <sz val="11"/>
      <color rgb="FF0D7A68"/>
      <name val="Calibri"/>
    </font>
    <font>
      <b/>
      <sz val="11"/>
      <name val="Calibri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3B45"/>
      </patternFill>
    </fill>
    <fill>
      <patternFill patternType="solid">
        <fgColor rgb="FFFCEBD5"/>
      </patternFill>
    </fill>
    <fill>
      <patternFill patternType="solid">
        <fgColor rgb="FFD9ECE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7D0C5"/>
      </left>
      <right style="thin">
        <color rgb="FFC7D0C5"/>
      </right>
      <top style="thin">
        <color rgb="FFC7D0C5"/>
      </top>
      <bottom style="thin">
        <color rgb="FFC7D0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7D0C5"/>
      </left>
      <right style="thin">
        <color rgb="FFC7D0C5"/>
      </right>
      <top/>
      <bottom style="thin">
        <color rgb="FFC7D0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3" fillId="3" borderId="0" xfId="0" applyFont="1" applyFill="1"/>
    <xf numFmtId="0" fontId="4" fillId="4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Final ITCI Score by Country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Results!$L$4</c:f>
              <c:strCache>
                <c:ptCount val="1"/>
                <c:pt idx="0">
                  <c:v>final score</c:v>
                </c:pt>
              </c:strCache>
            </c:strRef>
          </c:tx>
          <c:spPr>
            <a:solidFill>
              <a:srgbClr val="0D7A68"/>
            </a:solidFill>
            <a:ln>
              <a:prstDash val="solid"/>
            </a:ln>
          </c:spPr>
          <c:invertIfNegative val="1"/>
          <c:cat>
            <c:strRef>
              <c:f>Results!$A$5:$A$42</c:f>
              <c:strCache>
                <c:ptCount val="38"/>
                <c:pt idx="0">
                  <c:v>Austria</c:v>
                </c:pt>
                <c:pt idx="1">
                  <c:v>Australia</c:v>
                </c:pt>
                <c:pt idx="2">
                  <c:v>Belgium</c:v>
                </c:pt>
                <c:pt idx="3">
                  <c:v>Canada</c:v>
                </c:pt>
                <c:pt idx="4">
                  <c:v>Switzerland</c:v>
                </c:pt>
                <c:pt idx="5">
                  <c:v>Chile</c:v>
                </c:pt>
                <c:pt idx="6">
                  <c:v>Colombia</c:v>
                </c:pt>
                <c:pt idx="7">
                  <c:v>Costa Rica</c:v>
                </c:pt>
                <c:pt idx="8">
                  <c:v>Czech Republic</c:v>
                </c:pt>
                <c:pt idx="9">
                  <c:v>Germany</c:v>
                </c:pt>
                <c:pt idx="10">
                  <c:v>Denmark</c:v>
                </c:pt>
                <c:pt idx="11">
                  <c:v>Estonia</c:v>
                </c:pt>
                <c:pt idx="12">
                  <c:v>Spain</c:v>
                </c:pt>
                <c:pt idx="13">
                  <c:v>Finland</c:v>
                </c:pt>
                <c:pt idx="14">
                  <c:v>France</c:v>
                </c:pt>
                <c:pt idx="15">
                  <c:v>United Kingdom</c:v>
                </c:pt>
                <c:pt idx="16">
                  <c:v>Greece</c:v>
                </c:pt>
                <c:pt idx="17">
                  <c:v>Hungary</c:v>
                </c:pt>
                <c:pt idx="18">
                  <c:v>Ireland</c:v>
                </c:pt>
                <c:pt idx="19">
                  <c:v>Israel</c:v>
                </c:pt>
                <c:pt idx="20">
                  <c:v>Iceland</c:v>
                </c:pt>
                <c:pt idx="21">
                  <c:v>Italy</c:v>
                </c:pt>
                <c:pt idx="22">
                  <c:v>Japan</c:v>
                </c:pt>
                <c:pt idx="23">
                  <c:v>Korea</c:v>
                </c:pt>
                <c:pt idx="24">
                  <c:v>Lithuania</c:v>
                </c:pt>
                <c:pt idx="25">
                  <c:v>Luxembourg</c:v>
                </c:pt>
                <c:pt idx="26">
                  <c:v>Latvia</c:v>
                </c:pt>
                <c:pt idx="27">
                  <c:v>Mexico</c:v>
                </c:pt>
                <c:pt idx="28">
                  <c:v>Netherlands</c:v>
                </c:pt>
                <c:pt idx="29">
                  <c:v>Norway</c:v>
                </c:pt>
                <c:pt idx="30">
                  <c:v>New Zealand</c:v>
                </c:pt>
                <c:pt idx="31">
                  <c:v>Poland</c:v>
                </c:pt>
                <c:pt idx="32">
                  <c:v>Portugal</c:v>
                </c:pt>
                <c:pt idx="33">
                  <c:v>Sweden</c:v>
                </c:pt>
                <c:pt idx="34">
                  <c:v>Slovenia</c:v>
                </c:pt>
                <c:pt idx="35">
                  <c:v>Slovak Republic</c:v>
                </c:pt>
                <c:pt idx="36">
                  <c:v>Turkey</c:v>
                </c:pt>
                <c:pt idx="37">
                  <c:v>United States</c:v>
                </c:pt>
              </c:strCache>
            </c:strRef>
          </c:cat>
          <c:val>
            <c:numRef>
              <c:f>Results!$L$5:$L$42</c:f>
              <c:numCache>
                <c:formatCode>General</c:formatCode>
                <c:ptCount val="38"/>
                <c:pt idx="0">
                  <c:v>69.645655576501525</c:v>
                </c:pt>
                <c:pt idx="1">
                  <c:v>79.684170805011149</c:v>
                </c:pt>
                <c:pt idx="2">
                  <c:v>63.24646180832336</c:v>
                </c:pt>
                <c:pt idx="3">
                  <c:v>73.898954597363073</c:v>
                </c:pt>
                <c:pt idx="4">
                  <c:v>86.022021195107129</c:v>
                </c:pt>
                <c:pt idx="5">
                  <c:v>63.784252815902853</c:v>
                </c:pt>
                <c:pt idx="6">
                  <c:v>51.14838792785531</c:v>
                </c:pt>
                <c:pt idx="7">
                  <c:v>71.421304481151893</c:v>
                </c:pt>
                <c:pt idx="8">
                  <c:v>77.3633086730608</c:v>
                </c:pt>
                <c:pt idx="9">
                  <c:v>68.886740643099827</c:v>
                </c:pt>
                <c:pt idx="10">
                  <c:v>64.290688147939306</c:v>
                </c:pt>
                <c:pt idx="11">
                  <c:v>100</c:v>
                </c:pt>
                <c:pt idx="12">
                  <c:v>57.910287954676811</c:v>
                </c:pt>
                <c:pt idx="13">
                  <c:v>66.792504786745837</c:v>
                </c:pt>
                <c:pt idx="14">
                  <c:v>45.771647767814017</c:v>
                </c:pt>
                <c:pt idx="15">
                  <c:v>59.062778985367736</c:v>
                </c:pt>
                <c:pt idx="16">
                  <c:v>67.022451289095713</c:v>
                </c:pt>
                <c:pt idx="17">
                  <c:v>78.732951239657297</c:v>
                </c:pt>
                <c:pt idx="18">
                  <c:v>61.314929213295287</c:v>
                </c:pt>
                <c:pt idx="19">
                  <c:v>78.858911370845092</c:v>
                </c:pt>
                <c:pt idx="20">
                  <c:v>63.676040294852932</c:v>
                </c:pt>
                <c:pt idx="21">
                  <c:v>50.295762831359085</c:v>
                </c:pt>
                <c:pt idx="22">
                  <c:v>67.790869371957939</c:v>
                </c:pt>
                <c:pt idx="23">
                  <c:v>66.346349839781738</c:v>
                </c:pt>
                <c:pt idx="24">
                  <c:v>81.833497040113272</c:v>
                </c:pt>
                <c:pt idx="25">
                  <c:v>80.956649787862517</c:v>
                </c:pt>
                <c:pt idx="26">
                  <c:v>92.843935234848814</c:v>
                </c:pt>
                <c:pt idx="27">
                  <c:v>70.125859522052508</c:v>
                </c:pt>
                <c:pt idx="28">
                  <c:v>71.428410671032211</c:v>
                </c:pt>
                <c:pt idx="29">
                  <c:v>68.827396890169894</c:v>
                </c:pt>
                <c:pt idx="30">
                  <c:v>87.81362753814858</c:v>
                </c:pt>
                <c:pt idx="31">
                  <c:v>54.711228294748523</c:v>
                </c:pt>
                <c:pt idx="32">
                  <c:v>58.22895328237658</c:v>
                </c:pt>
                <c:pt idx="33">
                  <c:v>76.100552242949888</c:v>
                </c:pt>
                <c:pt idx="34">
                  <c:v>66.788334955599652</c:v>
                </c:pt>
                <c:pt idx="35">
                  <c:v>73.307153753621719</c:v>
                </c:pt>
                <c:pt idx="36">
                  <c:v>75.857236499434137</c:v>
                </c:pt>
                <c:pt idx="37">
                  <c:v>72.477950819137774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0B6-444E-9FFB-49991EC48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 (0-100)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</xdr:row>
      <xdr:rowOff>0</xdr:rowOff>
    </xdr:from>
    <xdr:ext cx="5760000" cy="79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10" workbookViewId="0"/>
  </sheetViews>
  <sheetFormatPr defaultRowHeight="14.4" x14ac:dyDescent="0.3"/>
  <cols>
    <col min="1" max="1" width="100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ht="57.6" x14ac:dyDescent="0.3">
      <c r="A3" s="2" t="s">
        <v>1</v>
      </c>
    </row>
    <row r="4" spans="1:1" x14ac:dyDescent="0.3">
      <c r="A4" s="2"/>
    </row>
    <row r="5" spans="1:1" x14ac:dyDescent="0.3">
      <c r="A5" s="3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/>
    </row>
    <row r="9" spans="1:1" x14ac:dyDescent="0.3">
      <c r="A9" s="3" t="s">
        <v>5</v>
      </c>
    </row>
    <row r="10" spans="1:1" ht="100.8" x14ac:dyDescent="0.3">
      <c r="A10" s="2" t="s">
        <v>6</v>
      </c>
    </row>
    <row r="11" spans="1:1" x14ac:dyDescent="0.3">
      <c r="A11" s="2"/>
    </row>
    <row r="12" spans="1:1" x14ac:dyDescent="0.3">
      <c r="A12" s="3" t="s">
        <v>7</v>
      </c>
    </row>
    <row r="13" spans="1:1" ht="43.2" x14ac:dyDescent="0.3">
      <c r="A13" s="2" t="s">
        <v>8</v>
      </c>
    </row>
    <row r="14" spans="1:1" x14ac:dyDescent="0.3">
      <c r="A14" s="2" t="s">
        <v>9</v>
      </c>
    </row>
    <row r="15" spans="1:1" ht="28.8" x14ac:dyDescent="0.3">
      <c r="A15" s="2" t="s">
        <v>10</v>
      </c>
    </row>
    <row r="16" spans="1:1" ht="28.8" x14ac:dyDescent="0.3">
      <c r="A16" s="2" t="s">
        <v>11</v>
      </c>
    </row>
    <row r="17" spans="1:1" x14ac:dyDescent="0.3">
      <c r="A17" s="2" t="s">
        <v>12</v>
      </c>
    </row>
    <row r="18" spans="1:1" ht="28.8" x14ac:dyDescent="0.3">
      <c r="A18" s="2" t="s">
        <v>13</v>
      </c>
    </row>
    <row r="19" spans="1:1" x14ac:dyDescent="0.3">
      <c r="A19" s="2"/>
    </row>
    <row r="20" spans="1:1" x14ac:dyDescent="0.3">
      <c r="A20" s="3" t="s">
        <v>14</v>
      </c>
    </row>
    <row r="21" spans="1:1" ht="57.6" x14ac:dyDescent="0.3">
      <c r="A21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0"/>
  <sheetViews>
    <sheetView workbookViewId="0">
      <selection activeCell="E3" sqref="E3"/>
    </sheetView>
  </sheetViews>
  <sheetFormatPr defaultRowHeight="14.4" x14ac:dyDescent="0.3"/>
  <sheetData>
    <row r="1" spans="1:43" ht="18" x14ac:dyDescent="0.35">
      <c r="A1" s="4" t="s">
        <v>16</v>
      </c>
    </row>
    <row r="2" spans="1:43" s="13" customFormat="1" ht="57.6" x14ac:dyDescent="0.3">
      <c r="A2" s="12" t="s">
        <v>17</v>
      </c>
      <c r="B2" s="12" t="s">
        <v>18</v>
      </c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2" t="s">
        <v>31</v>
      </c>
      <c r="P2" s="12" t="s">
        <v>32</v>
      </c>
      <c r="Q2" s="12" t="s">
        <v>33</v>
      </c>
      <c r="R2" s="12" t="s">
        <v>34</v>
      </c>
      <c r="S2" s="12" t="s">
        <v>35</v>
      </c>
      <c r="T2" s="12" t="s">
        <v>36</v>
      </c>
      <c r="U2" s="12" t="s">
        <v>37</v>
      </c>
      <c r="V2" s="12" t="s">
        <v>38</v>
      </c>
      <c r="W2" s="12" t="s">
        <v>39</v>
      </c>
      <c r="X2" s="12" t="s">
        <v>40</v>
      </c>
      <c r="Y2" s="12" t="s">
        <v>41</v>
      </c>
      <c r="Z2" s="12" t="s">
        <v>42</v>
      </c>
      <c r="AA2" s="12" t="s">
        <v>43</v>
      </c>
      <c r="AB2" s="12" t="s">
        <v>44</v>
      </c>
      <c r="AC2" s="12" t="s">
        <v>45</v>
      </c>
      <c r="AD2" s="12" t="s">
        <v>46</v>
      </c>
      <c r="AE2" s="12" t="s">
        <v>47</v>
      </c>
      <c r="AF2" s="12" t="s">
        <v>48</v>
      </c>
      <c r="AG2" s="12" t="s">
        <v>49</v>
      </c>
      <c r="AH2" s="12" t="s">
        <v>50</v>
      </c>
      <c r="AI2" s="12" t="s">
        <v>51</v>
      </c>
      <c r="AJ2" s="12" t="s">
        <v>52</v>
      </c>
      <c r="AK2" s="12" t="s">
        <v>53</v>
      </c>
      <c r="AL2" s="12" t="s">
        <v>54</v>
      </c>
      <c r="AM2" s="12" t="s">
        <v>55</v>
      </c>
      <c r="AN2" s="12" t="s">
        <v>56</v>
      </c>
      <c r="AO2" s="12" t="s">
        <v>57</v>
      </c>
      <c r="AP2" s="12" t="s">
        <v>58</v>
      </c>
      <c r="AQ2" s="12" t="s">
        <v>59</v>
      </c>
    </row>
    <row r="3" spans="1:43" x14ac:dyDescent="0.3">
      <c r="A3" s="11" t="s">
        <v>60</v>
      </c>
      <c r="B3" s="7">
        <v>0.23</v>
      </c>
      <c r="C3" s="7">
        <v>0</v>
      </c>
      <c r="D3" s="7">
        <v>75</v>
      </c>
      <c r="E3" s="7">
        <v>0.88436502699999997</v>
      </c>
      <c r="F3" s="7">
        <v>0.33847473300000003</v>
      </c>
      <c r="G3" s="7">
        <v>0.73788870299999998</v>
      </c>
      <c r="H3" s="7">
        <v>1</v>
      </c>
      <c r="I3" s="7">
        <v>0</v>
      </c>
      <c r="J3" s="7">
        <v>0</v>
      </c>
      <c r="K3" s="7">
        <v>0.17</v>
      </c>
      <c r="L3" s="7">
        <v>1</v>
      </c>
      <c r="M3" s="7">
        <v>3</v>
      </c>
      <c r="N3" s="7">
        <v>0</v>
      </c>
      <c r="O3" s="7">
        <v>0.27856900000000001</v>
      </c>
      <c r="P3" s="7">
        <v>0.55000000000000004</v>
      </c>
      <c r="Q3" s="7">
        <v>17.803290000000001</v>
      </c>
      <c r="R3" s="7">
        <v>1.131176146</v>
      </c>
      <c r="S3" s="7">
        <v>0</v>
      </c>
      <c r="T3" s="7">
        <v>0</v>
      </c>
      <c r="U3" s="7">
        <v>0.27500000000000002</v>
      </c>
      <c r="V3" s="7">
        <v>0.27500000000000002</v>
      </c>
      <c r="W3" s="7">
        <v>20</v>
      </c>
      <c r="X3" s="7">
        <v>75017.424499999994</v>
      </c>
      <c r="Y3" s="7">
        <v>0.61997648400000005</v>
      </c>
      <c r="Z3" s="7">
        <v>0</v>
      </c>
      <c r="AA3" s="7">
        <v>0.110451128</v>
      </c>
      <c r="AB3" s="7">
        <v>0</v>
      </c>
      <c r="AC3" s="7">
        <v>0</v>
      </c>
      <c r="AD3" s="7">
        <v>1</v>
      </c>
      <c r="AE3" s="7">
        <v>1</v>
      </c>
      <c r="AF3" s="7">
        <v>0</v>
      </c>
      <c r="AG3" s="7">
        <v>0</v>
      </c>
      <c r="AH3" s="7">
        <v>1</v>
      </c>
      <c r="AI3" s="7">
        <v>1</v>
      </c>
      <c r="AJ3" s="7">
        <v>0</v>
      </c>
      <c r="AK3" s="7">
        <v>0.27500000000000002</v>
      </c>
      <c r="AL3" s="7">
        <v>0</v>
      </c>
      <c r="AM3" s="7">
        <v>0.2</v>
      </c>
      <c r="AN3" s="7">
        <v>89</v>
      </c>
      <c r="AO3" s="7">
        <v>0.66666666699999999</v>
      </c>
      <c r="AP3" s="7">
        <v>1</v>
      </c>
      <c r="AQ3" s="7">
        <v>1</v>
      </c>
    </row>
    <row r="4" spans="1:43" x14ac:dyDescent="0.3">
      <c r="A4" s="6" t="s">
        <v>61</v>
      </c>
      <c r="B4" s="7">
        <v>0.3</v>
      </c>
      <c r="C4" s="7">
        <v>0</v>
      </c>
      <c r="D4" s="7">
        <v>100</v>
      </c>
      <c r="E4" s="7">
        <v>0.85148497099999998</v>
      </c>
      <c r="F4" s="7">
        <v>0.479318672</v>
      </c>
      <c r="G4" s="7">
        <v>0.54795391100000002</v>
      </c>
      <c r="H4" s="7">
        <v>0.5</v>
      </c>
      <c r="I4" s="7">
        <v>0</v>
      </c>
      <c r="J4" s="7">
        <v>0</v>
      </c>
      <c r="K4" s="7">
        <v>0.1525</v>
      </c>
      <c r="L4" s="7">
        <v>0</v>
      </c>
      <c r="M4" s="7">
        <v>3</v>
      </c>
      <c r="N4" s="7">
        <v>0</v>
      </c>
      <c r="O4" s="7">
        <v>0</v>
      </c>
      <c r="P4" s="7">
        <v>0.47</v>
      </c>
      <c r="Q4" s="7">
        <v>1.73421</v>
      </c>
      <c r="R4" s="7">
        <v>1.3329211240000001</v>
      </c>
      <c r="S4" s="7">
        <v>0</v>
      </c>
      <c r="T4" s="7">
        <v>0</v>
      </c>
      <c r="U4" s="7">
        <v>0.23499999999999999</v>
      </c>
      <c r="V4" s="7">
        <v>0.24285714</v>
      </c>
      <c r="W4" s="7">
        <v>10</v>
      </c>
      <c r="X4" s="7">
        <v>54350.3073</v>
      </c>
      <c r="Y4" s="7">
        <v>0.45951335500000001</v>
      </c>
      <c r="Z4" s="7">
        <v>1</v>
      </c>
      <c r="AA4" s="7">
        <v>3.6917012999999999E-2</v>
      </c>
      <c r="AB4" s="7">
        <v>0</v>
      </c>
      <c r="AC4" s="7">
        <v>0</v>
      </c>
      <c r="AD4" s="7">
        <v>1</v>
      </c>
      <c r="AE4" s="7">
        <v>1</v>
      </c>
      <c r="AF4" s="7">
        <v>0</v>
      </c>
      <c r="AG4" s="7">
        <v>0</v>
      </c>
      <c r="AH4" s="7">
        <v>1</v>
      </c>
      <c r="AI4" s="7">
        <v>1</v>
      </c>
      <c r="AJ4" s="7">
        <v>0</v>
      </c>
      <c r="AK4" s="7">
        <v>0.3</v>
      </c>
      <c r="AL4" s="7">
        <v>0.1</v>
      </c>
      <c r="AM4" s="7">
        <v>0.3</v>
      </c>
      <c r="AN4" s="7">
        <v>48</v>
      </c>
      <c r="AO4" s="7">
        <v>0.33333333300000001</v>
      </c>
      <c r="AP4" s="7">
        <v>1</v>
      </c>
      <c r="AQ4" s="7">
        <v>1</v>
      </c>
    </row>
    <row r="5" spans="1:43" x14ac:dyDescent="0.3">
      <c r="A5" s="6" t="s">
        <v>62</v>
      </c>
      <c r="B5" s="7">
        <v>0.25</v>
      </c>
      <c r="C5" s="7">
        <v>0</v>
      </c>
      <c r="D5" s="7">
        <v>70</v>
      </c>
      <c r="E5" s="7">
        <v>0.86986525400000003</v>
      </c>
      <c r="F5" s="7">
        <v>0.54795391100000002</v>
      </c>
      <c r="G5" s="7">
        <v>0.86986525400000003</v>
      </c>
      <c r="H5" s="7">
        <v>1</v>
      </c>
      <c r="I5" s="7">
        <v>0</v>
      </c>
      <c r="J5" s="7">
        <v>1</v>
      </c>
      <c r="K5" s="7">
        <v>0.155</v>
      </c>
      <c r="L5" s="7">
        <v>0</v>
      </c>
      <c r="M5" s="7">
        <v>2</v>
      </c>
      <c r="N5" s="7">
        <v>0</v>
      </c>
      <c r="O5" s="7">
        <v>1.8283000000000001E-2</v>
      </c>
      <c r="P5" s="7">
        <v>0.60172143</v>
      </c>
      <c r="Q5" s="7">
        <v>1.0223409999999999</v>
      </c>
      <c r="R5" s="7">
        <v>1.281391725</v>
      </c>
      <c r="S5" s="7">
        <v>0</v>
      </c>
      <c r="T5" s="7">
        <v>0</v>
      </c>
      <c r="U5" s="7">
        <v>0</v>
      </c>
      <c r="V5" s="7">
        <v>0.3</v>
      </c>
      <c r="W5" s="7">
        <v>21</v>
      </c>
      <c r="X5" s="7">
        <v>34879.957139999999</v>
      </c>
      <c r="Y5" s="7">
        <v>0.43331369199999997</v>
      </c>
      <c r="Z5" s="7">
        <v>0.5</v>
      </c>
      <c r="AA5" s="7">
        <v>0.76110655400000005</v>
      </c>
      <c r="AB5" s="7">
        <v>0.5</v>
      </c>
      <c r="AC5" s="7">
        <v>1</v>
      </c>
      <c r="AD5" s="7">
        <v>1</v>
      </c>
      <c r="AE5" s="7">
        <v>1</v>
      </c>
      <c r="AF5" s="7">
        <v>0</v>
      </c>
      <c r="AG5" s="7">
        <v>1</v>
      </c>
      <c r="AH5" s="7">
        <v>1</v>
      </c>
      <c r="AI5" s="7">
        <v>1</v>
      </c>
      <c r="AJ5" s="7">
        <v>0</v>
      </c>
      <c r="AK5" s="7">
        <v>0.3</v>
      </c>
      <c r="AL5" s="7">
        <v>0.3</v>
      </c>
      <c r="AM5" s="7">
        <v>0.3</v>
      </c>
      <c r="AN5" s="7">
        <v>95</v>
      </c>
      <c r="AO5" s="7">
        <v>0.66666666699999999</v>
      </c>
      <c r="AP5" s="7">
        <v>1</v>
      </c>
      <c r="AQ5" s="7">
        <v>1</v>
      </c>
    </row>
    <row r="6" spans="1:43" x14ac:dyDescent="0.3">
      <c r="A6" s="6" t="s">
        <v>63</v>
      </c>
      <c r="B6" s="7">
        <v>0.25981152000000002</v>
      </c>
      <c r="C6" s="7">
        <v>3</v>
      </c>
      <c r="D6" s="7">
        <v>20</v>
      </c>
      <c r="E6" s="7">
        <v>0.96739130399999995</v>
      </c>
      <c r="F6" s="7">
        <v>0.625</v>
      </c>
      <c r="G6" s="7">
        <v>0.51896551700000004</v>
      </c>
      <c r="H6" s="7">
        <v>0.5</v>
      </c>
      <c r="I6" s="7">
        <v>0</v>
      </c>
      <c r="J6" s="7">
        <v>0</v>
      </c>
      <c r="K6" s="7">
        <v>0.21249999999999999</v>
      </c>
      <c r="L6" s="7">
        <v>0</v>
      </c>
      <c r="M6" s="7">
        <v>2</v>
      </c>
      <c r="N6" s="7">
        <v>0</v>
      </c>
      <c r="O6" s="7">
        <v>0.444411</v>
      </c>
      <c r="P6" s="7">
        <v>0.53529599999999999</v>
      </c>
      <c r="Q6" s="7">
        <v>2.8020779999999998</v>
      </c>
      <c r="R6" s="7">
        <v>1.219717299</v>
      </c>
      <c r="S6" s="7">
        <v>0</v>
      </c>
      <c r="T6" s="7">
        <v>0</v>
      </c>
      <c r="U6" s="7">
        <v>0.26750000000000002</v>
      </c>
      <c r="V6" s="7">
        <v>0.39343524000000002</v>
      </c>
      <c r="W6" s="7">
        <v>12.3</v>
      </c>
      <c r="X6" s="7">
        <v>26420.405009999999</v>
      </c>
      <c r="Y6" s="7">
        <v>0.52674595099999999</v>
      </c>
      <c r="Z6" s="7">
        <v>0.5</v>
      </c>
      <c r="AA6" s="7">
        <v>1.2084102480000001</v>
      </c>
      <c r="AB6" s="7">
        <v>0</v>
      </c>
      <c r="AC6" s="7">
        <v>0</v>
      </c>
      <c r="AD6" s="7">
        <v>1</v>
      </c>
      <c r="AE6" s="7">
        <v>1</v>
      </c>
      <c r="AF6" s="7">
        <v>1</v>
      </c>
      <c r="AG6" s="7">
        <v>0</v>
      </c>
      <c r="AH6" s="7">
        <v>1</v>
      </c>
      <c r="AI6" s="7">
        <v>0.5</v>
      </c>
      <c r="AJ6" s="7">
        <v>1</v>
      </c>
      <c r="AK6" s="7">
        <v>0.25</v>
      </c>
      <c r="AL6" s="7">
        <v>0.25</v>
      </c>
      <c r="AM6" s="7">
        <v>0.25</v>
      </c>
      <c r="AN6" s="7">
        <v>96</v>
      </c>
      <c r="AO6" s="7">
        <v>0.33333333300000001</v>
      </c>
      <c r="AP6" s="7">
        <v>0.5</v>
      </c>
      <c r="AQ6" s="7">
        <v>1</v>
      </c>
    </row>
    <row r="7" spans="1:43" x14ac:dyDescent="0.3">
      <c r="A7" s="6" t="s">
        <v>64</v>
      </c>
      <c r="B7" s="7">
        <v>0.19607821</v>
      </c>
      <c r="C7" s="7">
        <v>0</v>
      </c>
      <c r="D7" s="7">
        <v>7</v>
      </c>
      <c r="E7" s="7">
        <v>0.86</v>
      </c>
      <c r="F7" s="7">
        <v>0.55483870999999996</v>
      </c>
      <c r="G7" s="7">
        <v>0.90526315800000001</v>
      </c>
      <c r="H7" s="7">
        <v>1</v>
      </c>
      <c r="I7" s="7">
        <v>0</v>
      </c>
      <c r="J7" s="7">
        <v>1</v>
      </c>
      <c r="K7" s="7">
        <v>-0.01</v>
      </c>
      <c r="L7" s="7">
        <v>1</v>
      </c>
      <c r="M7" s="7">
        <v>1</v>
      </c>
      <c r="N7" s="7">
        <v>0</v>
      </c>
      <c r="O7" s="7">
        <v>1.0776509999999999</v>
      </c>
      <c r="P7" s="7">
        <v>0.41410000000000002</v>
      </c>
      <c r="Q7" s="7">
        <v>3.1221350000000001</v>
      </c>
      <c r="R7" s="7">
        <v>1.3383171709999999</v>
      </c>
      <c r="S7" s="7">
        <v>0</v>
      </c>
      <c r="T7" s="7">
        <v>0</v>
      </c>
      <c r="U7" s="7">
        <v>0</v>
      </c>
      <c r="V7" s="7">
        <v>0.22155</v>
      </c>
      <c r="W7" s="7">
        <v>8.1</v>
      </c>
      <c r="X7" s="7">
        <v>102786.6488</v>
      </c>
      <c r="Y7" s="7">
        <v>0.68135292999999997</v>
      </c>
      <c r="Z7" s="7">
        <v>0.5</v>
      </c>
      <c r="AA7" s="7">
        <v>9.5367028000000006E-2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0</v>
      </c>
      <c r="AK7" s="7">
        <v>0.35</v>
      </c>
      <c r="AL7" s="7">
        <v>0.35</v>
      </c>
      <c r="AM7" s="7">
        <v>0</v>
      </c>
      <c r="AN7" s="7">
        <v>110</v>
      </c>
      <c r="AO7" s="7">
        <v>0</v>
      </c>
      <c r="AP7" s="7">
        <v>0.5</v>
      </c>
      <c r="AQ7" s="7">
        <v>0.5</v>
      </c>
    </row>
    <row r="8" spans="1:43" x14ac:dyDescent="0.3">
      <c r="A8" s="6" t="s">
        <v>65</v>
      </c>
      <c r="B8" s="7">
        <v>0.27</v>
      </c>
      <c r="C8" s="7">
        <v>0</v>
      </c>
      <c r="D8" s="7">
        <v>100</v>
      </c>
      <c r="E8" s="7">
        <v>0.63261166000000002</v>
      </c>
      <c r="F8" s="7">
        <v>0.33847473300000003</v>
      </c>
      <c r="G8" s="7">
        <v>0</v>
      </c>
      <c r="H8" s="7">
        <v>0.5</v>
      </c>
      <c r="I8" s="7">
        <v>0</v>
      </c>
      <c r="J8" s="7">
        <v>0</v>
      </c>
      <c r="K8" s="7">
        <v>0.27500000000000002</v>
      </c>
      <c r="L8" s="7">
        <v>0</v>
      </c>
      <c r="M8" s="7">
        <v>0</v>
      </c>
      <c r="N8" s="7">
        <v>0</v>
      </c>
      <c r="O8" s="7">
        <v>0.10704900000000001</v>
      </c>
      <c r="P8" s="7">
        <v>0.40000001000000002</v>
      </c>
      <c r="Q8" s="7">
        <v>17.951571000000001</v>
      </c>
      <c r="R8" s="7">
        <v>1.214444005</v>
      </c>
      <c r="S8" s="7">
        <v>0</v>
      </c>
      <c r="T8" s="7">
        <v>0</v>
      </c>
      <c r="U8" s="7">
        <v>0.4</v>
      </c>
      <c r="V8" s="7">
        <v>0.23904110000000001</v>
      </c>
      <c r="W8" s="7">
        <v>19</v>
      </c>
      <c r="X8" s="7">
        <v>0</v>
      </c>
      <c r="Y8" s="7">
        <v>0.67226554900000002</v>
      </c>
      <c r="Z8" s="7">
        <v>0.5</v>
      </c>
      <c r="AA8" s="7">
        <v>8.8102999999999999E-4</v>
      </c>
      <c r="AB8" s="7">
        <v>0</v>
      </c>
      <c r="AC8" s="7">
        <v>1</v>
      </c>
      <c r="AD8" s="7">
        <v>0</v>
      </c>
      <c r="AE8" s="7">
        <v>1</v>
      </c>
      <c r="AF8" s="7">
        <v>0</v>
      </c>
      <c r="AG8" s="7">
        <v>0</v>
      </c>
      <c r="AH8" s="7">
        <v>0</v>
      </c>
      <c r="AI8" s="7">
        <v>0</v>
      </c>
      <c r="AJ8" s="7">
        <v>1</v>
      </c>
      <c r="AK8" s="7">
        <v>0.35</v>
      </c>
      <c r="AL8" s="7">
        <v>0.35</v>
      </c>
      <c r="AM8" s="7">
        <v>0.3</v>
      </c>
      <c r="AN8" s="7">
        <v>37</v>
      </c>
      <c r="AO8" s="7">
        <v>0.5</v>
      </c>
      <c r="AP8" s="7">
        <v>0.5</v>
      </c>
      <c r="AQ8" s="7">
        <v>0</v>
      </c>
    </row>
    <row r="9" spans="1:43" x14ac:dyDescent="0.3">
      <c r="A9" s="6" t="s">
        <v>66</v>
      </c>
      <c r="B9" s="7">
        <v>0.35</v>
      </c>
      <c r="C9" s="7">
        <v>0</v>
      </c>
      <c r="D9" s="7">
        <v>12</v>
      </c>
      <c r="E9" s="7">
        <v>0.73788870299999998</v>
      </c>
      <c r="F9" s="7">
        <v>0.30595653099999998</v>
      </c>
      <c r="G9" s="7">
        <v>0.86986525400000003</v>
      </c>
      <c r="H9" s="7">
        <v>0.5</v>
      </c>
      <c r="I9" s="7">
        <v>0</v>
      </c>
      <c r="J9" s="7">
        <v>0</v>
      </c>
      <c r="K9" s="7">
        <v>7.2499999999999995E-2</v>
      </c>
      <c r="L9" s="7">
        <v>1</v>
      </c>
      <c r="M9" s="7">
        <v>3</v>
      </c>
      <c r="N9" s="7">
        <v>0</v>
      </c>
      <c r="O9" s="7">
        <v>8.6332999999999993E-2</v>
      </c>
      <c r="P9" s="7">
        <v>0.38999999000000002</v>
      </c>
      <c r="Q9" s="7">
        <v>50.773049999999998</v>
      </c>
      <c r="R9" s="7">
        <v>0</v>
      </c>
      <c r="S9" s="7">
        <v>0</v>
      </c>
      <c r="T9" s="7">
        <v>1.6137159999999999</v>
      </c>
      <c r="U9" s="7">
        <v>0.15</v>
      </c>
      <c r="V9" s="7">
        <v>0.2</v>
      </c>
      <c r="W9" s="7">
        <v>19</v>
      </c>
      <c r="X9" s="7">
        <v>0</v>
      </c>
      <c r="Y9" s="7">
        <v>0.38530428100000003</v>
      </c>
      <c r="Z9" s="7">
        <v>0.5</v>
      </c>
      <c r="AA9" s="7">
        <v>1.4280799999999999E-4</v>
      </c>
      <c r="AB9" s="7">
        <v>1</v>
      </c>
      <c r="AC9" s="7">
        <v>1</v>
      </c>
      <c r="AD9" s="7">
        <v>1</v>
      </c>
      <c r="AE9" s="7">
        <v>0</v>
      </c>
      <c r="AF9" s="7">
        <v>1</v>
      </c>
      <c r="AG9" s="7">
        <v>1</v>
      </c>
      <c r="AH9" s="7">
        <v>0</v>
      </c>
      <c r="AI9" s="7">
        <v>0</v>
      </c>
      <c r="AJ9" s="7">
        <v>0</v>
      </c>
      <c r="AK9" s="7">
        <v>0.2</v>
      </c>
      <c r="AL9" s="7">
        <v>0.2</v>
      </c>
      <c r="AM9" s="7">
        <v>0.2</v>
      </c>
      <c r="AN9" s="7">
        <v>14</v>
      </c>
      <c r="AO9" s="7">
        <v>0.66666666699999999</v>
      </c>
      <c r="AP9" s="7">
        <v>0.5</v>
      </c>
      <c r="AQ9" s="7">
        <v>0</v>
      </c>
    </row>
    <row r="10" spans="1:43" x14ac:dyDescent="0.3">
      <c r="A10" s="6" t="s">
        <v>67</v>
      </c>
      <c r="B10" s="7">
        <v>0.3</v>
      </c>
      <c r="C10" s="7">
        <v>0</v>
      </c>
      <c r="D10" s="7">
        <v>3</v>
      </c>
      <c r="E10" s="7">
        <v>0.82245669099999996</v>
      </c>
      <c r="F10" s="7">
        <v>0.278958449</v>
      </c>
      <c r="G10" s="7">
        <v>0.73788870299999998</v>
      </c>
      <c r="H10" s="7">
        <v>0.5</v>
      </c>
      <c r="I10" s="7">
        <v>0</v>
      </c>
      <c r="J10" s="7">
        <v>0</v>
      </c>
      <c r="K10" s="7">
        <v>-0.02</v>
      </c>
      <c r="L10" s="7">
        <v>0</v>
      </c>
      <c r="M10" s="7">
        <v>5</v>
      </c>
      <c r="N10" s="7">
        <v>0</v>
      </c>
      <c r="O10" s="7">
        <v>1.2128380000000001</v>
      </c>
      <c r="P10" s="7">
        <v>0.33615204999999998</v>
      </c>
      <c r="Q10" s="7">
        <v>6.8651819999999999</v>
      </c>
      <c r="R10" s="7">
        <v>1.064356777</v>
      </c>
      <c r="S10" s="7">
        <v>0</v>
      </c>
      <c r="T10" s="7">
        <v>7.9932619999999996</v>
      </c>
      <c r="U10" s="7">
        <v>0.15</v>
      </c>
      <c r="V10" s="7">
        <v>0.15</v>
      </c>
      <c r="W10" s="7">
        <v>13</v>
      </c>
      <c r="X10" s="7">
        <v>0</v>
      </c>
      <c r="Y10" s="7">
        <v>0.50135878700000003</v>
      </c>
      <c r="Z10" s="7">
        <v>0.5</v>
      </c>
      <c r="AA10" s="7">
        <v>5.0598899999999998E-4</v>
      </c>
      <c r="AB10" s="7">
        <v>0</v>
      </c>
      <c r="AC10" s="7">
        <v>0</v>
      </c>
      <c r="AD10" s="7">
        <v>1</v>
      </c>
      <c r="AE10" s="7">
        <v>1</v>
      </c>
      <c r="AF10" s="7">
        <v>0</v>
      </c>
      <c r="AG10" s="7">
        <v>1</v>
      </c>
      <c r="AH10" s="7">
        <v>1</v>
      </c>
      <c r="AI10" s="7">
        <v>1</v>
      </c>
      <c r="AJ10" s="7">
        <v>0</v>
      </c>
      <c r="AK10" s="7">
        <v>0.15</v>
      </c>
      <c r="AL10" s="7">
        <v>0.15</v>
      </c>
      <c r="AM10" s="7">
        <v>0.25</v>
      </c>
      <c r="AN10" s="7">
        <v>4</v>
      </c>
      <c r="AO10" s="7">
        <v>0</v>
      </c>
      <c r="AP10" s="7">
        <v>1</v>
      </c>
      <c r="AQ10" s="7">
        <v>0</v>
      </c>
    </row>
    <row r="11" spans="1:43" x14ac:dyDescent="0.3">
      <c r="A11" s="6" t="s">
        <v>68</v>
      </c>
      <c r="B11" s="7">
        <v>0.21</v>
      </c>
      <c r="C11" s="7">
        <v>2</v>
      </c>
      <c r="D11" s="7">
        <v>5</v>
      </c>
      <c r="E11" s="7">
        <v>0.87387910800000002</v>
      </c>
      <c r="F11" s="7">
        <v>0.54322283100000002</v>
      </c>
      <c r="G11" s="7">
        <v>0.84131884800000001</v>
      </c>
      <c r="H11" s="7">
        <v>0.5</v>
      </c>
      <c r="I11" s="7">
        <v>0</v>
      </c>
      <c r="J11" s="7">
        <v>0</v>
      </c>
      <c r="K11" s="7">
        <v>0.20499999999999999</v>
      </c>
      <c r="L11" s="7">
        <v>0</v>
      </c>
      <c r="M11" s="7">
        <v>1</v>
      </c>
      <c r="N11" s="7">
        <v>0</v>
      </c>
      <c r="O11" s="7">
        <v>0</v>
      </c>
      <c r="P11" s="7">
        <v>0.34599999999999997</v>
      </c>
      <c r="Q11" s="7">
        <v>2.8791980000000001</v>
      </c>
      <c r="R11" s="7">
        <v>1.105836606</v>
      </c>
      <c r="S11" s="7">
        <v>0</v>
      </c>
      <c r="T11" s="7">
        <v>0</v>
      </c>
      <c r="U11" s="7">
        <v>0.23</v>
      </c>
      <c r="V11" s="7">
        <v>0.23</v>
      </c>
      <c r="W11" s="7">
        <v>21</v>
      </c>
      <c r="X11" s="7">
        <v>154336.45699999999</v>
      </c>
      <c r="Y11" s="7">
        <v>0.59949040499999995</v>
      </c>
      <c r="Z11" s="7">
        <v>0.5</v>
      </c>
      <c r="AA11" s="7">
        <v>4.3027839999999996E-3</v>
      </c>
      <c r="AB11" s="7">
        <v>0</v>
      </c>
      <c r="AC11" s="7">
        <v>1</v>
      </c>
      <c r="AD11" s="7">
        <v>0</v>
      </c>
      <c r="AE11" s="7">
        <v>0</v>
      </c>
      <c r="AF11" s="7">
        <v>0</v>
      </c>
      <c r="AG11" s="7">
        <v>0</v>
      </c>
      <c r="AH11" s="7">
        <v>1</v>
      </c>
      <c r="AI11" s="7">
        <v>1</v>
      </c>
      <c r="AJ11" s="7">
        <v>1</v>
      </c>
      <c r="AK11" s="7">
        <v>0.15</v>
      </c>
      <c r="AL11" s="7">
        <v>0.15</v>
      </c>
      <c r="AM11" s="7">
        <v>0.15</v>
      </c>
      <c r="AN11" s="7">
        <v>98</v>
      </c>
      <c r="AO11" s="7">
        <v>0.33333333300000001</v>
      </c>
      <c r="AP11" s="7">
        <v>1</v>
      </c>
      <c r="AQ11" s="7">
        <v>1</v>
      </c>
    </row>
    <row r="12" spans="1:43" x14ac:dyDescent="0.3">
      <c r="A12" s="6" t="s">
        <v>69</v>
      </c>
      <c r="B12" s="7">
        <v>0.30058462000000002</v>
      </c>
      <c r="C12" s="7">
        <v>2</v>
      </c>
      <c r="D12" s="7">
        <v>70</v>
      </c>
      <c r="E12" s="7">
        <v>0.87651404300000002</v>
      </c>
      <c r="F12" s="7">
        <v>0.391406013</v>
      </c>
      <c r="G12" s="7">
        <v>0.86986525400000003</v>
      </c>
      <c r="H12" s="7">
        <v>1</v>
      </c>
      <c r="I12" s="7">
        <v>0</v>
      </c>
      <c r="J12" s="7">
        <v>0</v>
      </c>
      <c r="K12" s="7">
        <v>0.26250000000000001</v>
      </c>
      <c r="L12" s="7">
        <v>0</v>
      </c>
      <c r="M12" s="7">
        <v>1</v>
      </c>
      <c r="N12" s="7">
        <v>1</v>
      </c>
      <c r="O12" s="7">
        <v>0</v>
      </c>
      <c r="P12" s="7">
        <v>0.47475000000000001</v>
      </c>
      <c r="Q12" s="7">
        <v>4.654217</v>
      </c>
      <c r="R12" s="7">
        <v>1.0615432199999999</v>
      </c>
      <c r="S12" s="7">
        <v>1</v>
      </c>
      <c r="T12" s="7">
        <v>0</v>
      </c>
      <c r="U12" s="7">
        <v>0.26374999999999998</v>
      </c>
      <c r="V12" s="7">
        <v>0.26374999999999998</v>
      </c>
      <c r="W12" s="7">
        <v>19</v>
      </c>
      <c r="X12" s="7">
        <v>35060.900780000004</v>
      </c>
      <c r="Y12" s="7">
        <v>0.53475625900000001</v>
      </c>
      <c r="Z12" s="7">
        <v>0.5</v>
      </c>
      <c r="AA12" s="7">
        <v>0.23305556399999999</v>
      </c>
      <c r="AB12" s="7">
        <v>0</v>
      </c>
      <c r="AC12" s="7">
        <v>1</v>
      </c>
      <c r="AD12" s="7">
        <v>1</v>
      </c>
      <c r="AE12" s="7">
        <v>0</v>
      </c>
      <c r="AF12" s="7">
        <v>0</v>
      </c>
      <c r="AG12" s="7">
        <v>0</v>
      </c>
      <c r="AH12" s="7">
        <v>0.95</v>
      </c>
      <c r="AI12" s="7">
        <v>0.95</v>
      </c>
      <c r="AJ12" s="7">
        <v>0</v>
      </c>
      <c r="AK12" s="7">
        <v>0.26374999999999998</v>
      </c>
      <c r="AL12" s="7">
        <v>0</v>
      </c>
      <c r="AM12" s="7">
        <v>0.15825</v>
      </c>
      <c r="AN12" s="7">
        <v>95</v>
      </c>
      <c r="AO12" s="7">
        <v>0.33333333300000001</v>
      </c>
      <c r="AP12" s="7">
        <v>1</v>
      </c>
      <c r="AQ12" s="7">
        <v>1</v>
      </c>
    </row>
    <row r="13" spans="1:43" x14ac:dyDescent="0.3">
      <c r="A13" s="6" t="s">
        <v>70</v>
      </c>
      <c r="B13" s="7">
        <v>0.22</v>
      </c>
      <c r="C13" s="7">
        <v>0</v>
      </c>
      <c r="D13" s="7">
        <v>60</v>
      </c>
      <c r="E13" s="7">
        <v>0.82692307700000001</v>
      </c>
      <c r="F13" s="7">
        <v>0.391406013</v>
      </c>
      <c r="G13" s="7">
        <v>0.81340644299999998</v>
      </c>
      <c r="H13" s="7">
        <v>0</v>
      </c>
      <c r="I13" s="7">
        <v>0</v>
      </c>
      <c r="J13" s="7">
        <v>0</v>
      </c>
      <c r="K13" s="7">
        <v>0.01</v>
      </c>
      <c r="L13" s="7">
        <v>1</v>
      </c>
      <c r="M13" s="7">
        <v>1</v>
      </c>
      <c r="N13" s="7">
        <v>0</v>
      </c>
      <c r="O13" s="7">
        <v>0.51732800000000001</v>
      </c>
      <c r="P13" s="7">
        <v>0.55904399999999999</v>
      </c>
      <c r="Q13" s="7">
        <v>1.257352</v>
      </c>
      <c r="R13" s="7">
        <v>1.2214927870000001</v>
      </c>
      <c r="S13" s="7">
        <v>0</v>
      </c>
      <c r="T13" s="7">
        <v>0</v>
      </c>
      <c r="U13" s="7">
        <v>0.42</v>
      </c>
      <c r="V13" s="7">
        <v>0.42</v>
      </c>
      <c r="W13" s="7">
        <v>25</v>
      </c>
      <c r="X13" s="7">
        <v>8025.575261</v>
      </c>
      <c r="Y13" s="7">
        <v>0.62634991900000003</v>
      </c>
      <c r="Z13" s="7">
        <v>0.5</v>
      </c>
      <c r="AA13" s="7">
        <v>0.109832059</v>
      </c>
      <c r="AB13" s="7">
        <v>0</v>
      </c>
      <c r="AC13" s="7">
        <v>1</v>
      </c>
      <c r="AD13" s="7">
        <v>1</v>
      </c>
      <c r="AE13" s="7">
        <v>0</v>
      </c>
      <c r="AF13" s="7">
        <v>0</v>
      </c>
      <c r="AG13" s="7">
        <v>0</v>
      </c>
      <c r="AH13" s="7">
        <v>1</v>
      </c>
      <c r="AI13" s="7">
        <v>1</v>
      </c>
      <c r="AJ13" s="7">
        <v>1</v>
      </c>
      <c r="AK13" s="7">
        <v>0.27</v>
      </c>
      <c r="AL13" s="7">
        <v>0.22</v>
      </c>
      <c r="AM13" s="7">
        <v>0.22</v>
      </c>
      <c r="AN13" s="7">
        <v>77</v>
      </c>
      <c r="AO13" s="7">
        <v>0.66666666699999999</v>
      </c>
      <c r="AP13" s="7">
        <v>1</v>
      </c>
      <c r="AQ13" s="7">
        <v>1</v>
      </c>
    </row>
    <row r="14" spans="1:43" x14ac:dyDescent="0.3">
      <c r="A14" s="6" t="s">
        <v>71</v>
      </c>
      <c r="B14" s="7">
        <v>0.22</v>
      </c>
      <c r="C14" s="7">
        <v>100</v>
      </c>
      <c r="D14" s="7">
        <v>100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0</v>
      </c>
      <c r="K14" s="7">
        <v>0.04</v>
      </c>
      <c r="L14" s="7">
        <v>0</v>
      </c>
      <c r="M14" s="7">
        <v>1</v>
      </c>
      <c r="N14" s="7">
        <v>0</v>
      </c>
      <c r="O14" s="7">
        <v>0</v>
      </c>
      <c r="P14" s="7">
        <v>0.2</v>
      </c>
      <c r="Q14" s="7">
        <v>0.33327200000000001</v>
      </c>
      <c r="R14" s="7">
        <v>1.2442788490000001</v>
      </c>
      <c r="S14" s="7">
        <v>0</v>
      </c>
      <c r="T14" s="7">
        <v>0</v>
      </c>
      <c r="U14" s="7">
        <v>0.22</v>
      </c>
      <c r="V14" s="7">
        <v>0</v>
      </c>
      <c r="W14" s="7">
        <v>24</v>
      </c>
      <c r="X14" s="7">
        <v>68524.596900000004</v>
      </c>
      <c r="Y14" s="7">
        <v>0.69983246300000002</v>
      </c>
      <c r="Z14" s="7">
        <v>1</v>
      </c>
      <c r="AA14" s="7">
        <v>0.11156757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1</v>
      </c>
      <c r="AI14" s="7">
        <v>1</v>
      </c>
      <c r="AJ14" s="7">
        <v>1</v>
      </c>
      <c r="AK14" s="7">
        <v>0</v>
      </c>
      <c r="AL14" s="7">
        <v>0</v>
      </c>
      <c r="AM14" s="7">
        <v>0.1</v>
      </c>
      <c r="AN14" s="7">
        <v>63</v>
      </c>
      <c r="AO14" s="7">
        <v>0.33333333300000001</v>
      </c>
      <c r="AP14" s="7">
        <v>1</v>
      </c>
      <c r="AQ14" s="7">
        <v>0</v>
      </c>
    </row>
    <row r="15" spans="1:43" x14ac:dyDescent="0.3">
      <c r="A15" s="6" t="s">
        <v>72</v>
      </c>
      <c r="B15" s="7">
        <v>0.25</v>
      </c>
      <c r="C15" s="7">
        <v>0</v>
      </c>
      <c r="D15" s="7">
        <v>25</v>
      </c>
      <c r="E15" s="7">
        <v>0.77856303900000001</v>
      </c>
      <c r="F15" s="7">
        <v>0.391406013</v>
      </c>
      <c r="G15" s="7">
        <v>0.73788870299999998</v>
      </c>
      <c r="H15" s="7">
        <v>0.5</v>
      </c>
      <c r="I15" s="7">
        <v>0</v>
      </c>
      <c r="J15" s="7">
        <v>1</v>
      </c>
      <c r="K15" s="7">
        <v>0.29499999999999998</v>
      </c>
      <c r="L15" s="7">
        <v>1</v>
      </c>
      <c r="M15" s="7">
        <v>3</v>
      </c>
      <c r="N15" s="7">
        <v>0</v>
      </c>
      <c r="O15" s="7">
        <v>0</v>
      </c>
      <c r="P15" s="7">
        <v>0.45</v>
      </c>
      <c r="Q15" s="7">
        <v>9.6429019999999994</v>
      </c>
      <c r="R15" s="7">
        <v>1.1956937169999999</v>
      </c>
      <c r="S15" s="7">
        <v>0</v>
      </c>
      <c r="T15" s="7">
        <v>0</v>
      </c>
      <c r="U15" s="7">
        <v>0.3</v>
      </c>
      <c r="V15" s="7">
        <v>0.3</v>
      </c>
      <c r="W15" s="7">
        <v>21</v>
      </c>
      <c r="X15" s="7">
        <v>0</v>
      </c>
      <c r="Y15" s="7">
        <v>0.44404954400000002</v>
      </c>
      <c r="Z15" s="7">
        <v>0.5</v>
      </c>
      <c r="AA15" s="7">
        <v>0.64515086799999999</v>
      </c>
      <c r="AB15" s="7">
        <v>1</v>
      </c>
      <c r="AC15" s="7">
        <v>1</v>
      </c>
      <c r="AD15" s="7">
        <v>1</v>
      </c>
      <c r="AE15" s="7">
        <v>0</v>
      </c>
      <c r="AF15" s="7">
        <v>1</v>
      </c>
      <c r="AG15" s="7">
        <v>1</v>
      </c>
      <c r="AH15" s="7">
        <v>0.95</v>
      </c>
      <c r="AI15" s="7">
        <v>0.95</v>
      </c>
      <c r="AJ15" s="7">
        <v>1</v>
      </c>
      <c r="AK15" s="7">
        <v>0.19</v>
      </c>
      <c r="AL15" s="7">
        <v>0.19</v>
      </c>
      <c r="AM15" s="7">
        <v>0.24</v>
      </c>
      <c r="AN15" s="7">
        <v>95</v>
      </c>
      <c r="AO15" s="7">
        <v>0.33333333300000001</v>
      </c>
      <c r="AP15" s="7">
        <v>1</v>
      </c>
      <c r="AQ15" s="7">
        <v>1</v>
      </c>
    </row>
    <row r="16" spans="1:43" x14ac:dyDescent="0.3">
      <c r="A16" s="6" t="s">
        <v>73</v>
      </c>
      <c r="B16" s="7">
        <v>0.2</v>
      </c>
      <c r="C16" s="7">
        <v>0</v>
      </c>
      <c r="D16" s="7">
        <v>10</v>
      </c>
      <c r="E16" s="7">
        <v>0.93478260899999999</v>
      </c>
      <c r="F16" s="7">
        <v>0.51896551700000004</v>
      </c>
      <c r="G16" s="7">
        <v>0.73788870299999998</v>
      </c>
      <c r="H16" s="7">
        <v>0</v>
      </c>
      <c r="I16" s="7">
        <v>0</v>
      </c>
      <c r="J16" s="7">
        <v>0</v>
      </c>
      <c r="K16" s="7">
        <v>0.105</v>
      </c>
      <c r="L16" s="7">
        <v>0</v>
      </c>
      <c r="M16" s="7">
        <v>1</v>
      </c>
      <c r="N16" s="7">
        <v>0</v>
      </c>
      <c r="O16" s="7">
        <v>0</v>
      </c>
      <c r="P16" s="7">
        <v>0.57478684999999996</v>
      </c>
      <c r="Q16" s="7">
        <v>3.1302819999999998</v>
      </c>
      <c r="R16" s="7">
        <v>1.289553333</v>
      </c>
      <c r="S16" s="7">
        <v>0</v>
      </c>
      <c r="T16" s="7">
        <v>0</v>
      </c>
      <c r="U16" s="7">
        <v>0.34</v>
      </c>
      <c r="V16" s="7">
        <v>0.28899999999999998</v>
      </c>
      <c r="W16" s="7">
        <v>25.5</v>
      </c>
      <c r="X16" s="7">
        <v>26084.93777</v>
      </c>
      <c r="Y16" s="7">
        <v>0.56424173399999999</v>
      </c>
      <c r="Z16" s="7">
        <v>0.5</v>
      </c>
      <c r="AA16" s="7">
        <v>0.42733848000000002</v>
      </c>
      <c r="AB16" s="7">
        <v>0</v>
      </c>
      <c r="AC16" s="7">
        <v>1</v>
      </c>
      <c r="AD16" s="7">
        <v>1</v>
      </c>
      <c r="AE16" s="7">
        <v>0</v>
      </c>
      <c r="AF16" s="7">
        <v>0</v>
      </c>
      <c r="AG16" s="7">
        <v>1</v>
      </c>
      <c r="AH16" s="7">
        <v>1</v>
      </c>
      <c r="AI16" s="7">
        <v>1</v>
      </c>
      <c r="AJ16" s="7">
        <v>1</v>
      </c>
      <c r="AK16" s="7">
        <v>0.2</v>
      </c>
      <c r="AL16" s="7">
        <v>0</v>
      </c>
      <c r="AM16" s="7">
        <v>0.2</v>
      </c>
      <c r="AN16" s="7">
        <v>77</v>
      </c>
      <c r="AO16" s="7">
        <v>0.5</v>
      </c>
      <c r="AP16" s="7">
        <v>1</v>
      </c>
      <c r="AQ16" s="7">
        <v>1</v>
      </c>
    </row>
    <row r="17" spans="1:43" x14ac:dyDescent="0.3">
      <c r="A17" s="6" t="s">
        <v>74</v>
      </c>
      <c r="B17" s="7">
        <v>0.36130000000000001</v>
      </c>
      <c r="C17" s="7">
        <v>1</v>
      </c>
      <c r="D17" s="7">
        <v>50</v>
      </c>
      <c r="E17" s="7">
        <v>0.88027560400000004</v>
      </c>
      <c r="F17" s="7">
        <v>0.54795391100000002</v>
      </c>
      <c r="G17" s="7">
        <v>0.86986525400000003</v>
      </c>
      <c r="H17" s="7">
        <v>0.5</v>
      </c>
      <c r="I17" s="7">
        <v>0</v>
      </c>
      <c r="J17" s="7">
        <v>1</v>
      </c>
      <c r="K17" s="7">
        <v>0.34250000000000003</v>
      </c>
      <c r="L17" s="7">
        <v>1</v>
      </c>
      <c r="M17" s="7">
        <v>4</v>
      </c>
      <c r="N17" s="7">
        <v>1</v>
      </c>
      <c r="O17" s="7">
        <v>0.853051</v>
      </c>
      <c r="P17" s="7">
        <v>0.55571999999999999</v>
      </c>
      <c r="Q17" s="7">
        <v>13.205308</v>
      </c>
      <c r="R17" s="7">
        <v>1.2821918839999999</v>
      </c>
      <c r="S17" s="7">
        <v>0</v>
      </c>
      <c r="T17" s="7">
        <v>0</v>
      </c>
      <c r="U17" s="7">
        <v>0.34</v>
      </c>
      <c r="V17" s="7">
        <v>0.34</v>
      </c>
      <c r="W17" s="7">
        <v>20</v>
      </c>
      <c r="X17" s="7">
        <v>132170.12119999999</v>
      </c>
      <c r="Y17" s="7">
        <v>0.50580566100000002</v>
      </c>
      <c r="Z17" s="7">
        <v>0.5</v>
      </c>
      <c r="AA17" s="7">
        <v>1.1343656950000001</v>
      </c>
      <c r="AB17" s="7">
        <v>0.5</v>
      </c>
      <c r="AC17" s="7">
        <v>1</v>
      </c>
      <c r="AD17" s="7">
        <v>1</v>
      </c>
      <c r="AE17" s="7">
        <v>1</v>
      </c>
      <c r="AF17" s="7">
        <v>0</v>
      </c>
      <c r="AG17" s="7">
        <v>1</v>
      </c>
      <c r="AH17" s="7">
        <v>0.95</v>
      </c>
      <c r="AI17" s="7">
        <v>0.88</v>
      </c>
      <c r="AJ17" s="7">
        <v>1</v>
      </c>
      <c r="AK17" s="7">
        <v>0.25</v>
      </c>
      <c r="AL17" s="7">
        <v>0</v>
      </c>
      <c r="AM17" s="7">
        <v>0.25</v>
      </c>
      <c r="AN17" s="7">
        <v>123</v>
      </c>
      <c r="AO17" s="7">
        <v>0.66666666699999999</v>
      </c>
      <c r="AP17" s="7">
        <v>1</v>
      </c>
      <c r="AQ17" s="7">
        <v>1</v>
      </c>
    </row>
    <row r="18" spans="1:43" x14ac:dyDescent="0.3">
      <c r="A18" s="6" t="s">
        <v>75</v>
      </c>
      <c r="B18" s="7">
        <v>0.25</v>
      </c>
      <c r="C18" s="7">
        <v>1</v>
      </c>
      <c r="D18" s="7">
        <v>50</v>
      </c>
      <c r="E18" s="7">
        <v>1</v>
      </c>
      <c r="F18" s="7">
        <v>0.391406013</v>
      </c>
      <c r="G18" s="7">
        <v>0.82692307700000001</v>
      </c>
      <c r="H18" s="7">
        <v>0</v>
      </c>
      <c r="I18" s="7">
        <v>0</v>
      </c>
      <c r="J18" s="7">
        <v>1</v>
      </c>
      <c r="K18" s="7">
        <v>0.1875</v>
      </c>
      <c r="L18" s="7">
        <v>1</v>
      </c>
      <c r="M18" s="7">
        <v>3</v>
      </c>
      <c r="N18" s="7">
        <v>0</v>
      </c>
      <c r="O18" s="7">
        <v>0</v>
      </c>
      <c r="P18" s="7">
        <v>0.47</v>
      </c>
      <c r="Q18" s="7">
        <v>2.4389090000000002</v>
      </c>
      <c r="R18" s="7">
        <v>1.4624339639999999</v>
      </c>
      <c r="S18" s="7">
        <v>0</v>
      </c>
      <c r="T18" s="7">
        <v>0</v>
      </c>
      <c r="U18" s="7">
        <v>0.24</v>
      </c>
      <c r="V18" s="7">
        <v>0.39350000000000002</v>
      </c>
      <c r="W18" s="7">
        <v>20</v>
      </c>
      <c r="X18" s="7">
        <v>132475.28599999999</v>
      </c>
      <c r="Y18" s="7">
        <v>0.47217288800000001</v>
      </c>
      <c r="Z18" s="7">
        <v>0.5</v>
      </c>
      <c r="AA18" s="7">
        <v>2.5696773319999999</v>
      </c>
      <c r="AB18" s="7">
        <v>0</v>
      </c>
      <c r="AC18" s="7">
        <v>1</v>
      </c>
      <c r="AD18" s="7">
        <v>1</v>
      </c>
      <c r="AE18" s="7">
        <v>1</v>
      </c>
      <c r="AF18" s="7">
        <v>0</v>
      </c>
      <c r="AG18" s="7">
        <v>1</v>
      </c>
      <c r="AH18" s="7">
        <v>1</v>
      </c>
      <c r="AI18" s="7">
        <v>1</v>
      </c>
      <c r="AJ18" s="7">
        <v>0</v>
      </c>
      <c r="AK18" s="7">
        <v>0</v>
      </c>
      <c r="AL18" s="7">
        <v>0.2</v>
      </c>
      <c r="AM18" s="7">
        <v>0.2</v>
      </c>
      <c r="AN18" s="7">
        <v>132</v>
      </c>
      <c r="AO18" s="7">
        <v>0.5</v>
      </c>
      <c r="AP18" s="7">
        <v>1</v>
      </c>
      <c r="AQ18" s="7">
        <v>1</v>
      </c>
    </row>
    <row r="19" spans="1:43" x14ac:dyDescent="0.3">
      <c r="A19" s="6" t="s">
        <v>76</v>
      </c>
      <c r="B19" s="7">
        <v>0.22</v>
      </c>
      <c r="C19" s="7">
        <v>0</v>
      </c>
      <c r="D19" s="7">
        <v>5</v>
      </c>
      <c r="E19" s="7">
        <v>0.73788870299999998</v>
      </c>
      <c r="F19" s="7">
        <v>0.479318672</v>
      </c>
      <c r="G19" s="7">
        <v>0.73788870299999998</v>
      </c>
      <c r="H19" s="7">
        <v>0.5</v>
      </c>
      <c r="I19" s="7">
        <v>0</v>
      </c>
      <c r="J19" s="7">
        <v>0</v>
      </c>
      <c r="K19" s="7">
        <v>0.23</v>
      </c>
      <c r="L19" s="7">
        <v>0</v>
      </c>
      <c r="M19" s="7">
        <v>1</v>
      </c>
      <c r="N19" s="7">
        <v>0</v>
      </c>
      <c r="O19" s="7">
        <v>0</v>
      </c>
      <c r="P19" s="7">
        <v>0.53489799999999998</v>
      </c>
      <c r="Q19" s="7">
        <v>1.8430949999999999</v>
      </c>
      <c r="R19" s="7">
        <v>1.2859567329999999</v>
      </c>
      <c r="S19" s="7">
        <v>0</v>
      </c>
      <c r="T19" s="7">
        <v>0</v>
      </c>
      <c r="U19" s="7">
        <v>0</v>
      </c>
      <c r="V19" s="7">
        <v>0.05</v>
      </c>
      <c r="W19" s="7">
        <v>24</v>
      </c>
      <c r="X19" s="7">
        <v>19273.17021</v>
      </c>
      <c r="Y19" s="7">
        <v>0.43207024300000002</v>
      </c>
      <c r="Z19" s="7">
        <v>0.5</v>
      </c>
      <c r="AA19" s="7">
        <v>1.163596474</v>
      </c>
      <c r="AB19" s="7">
        <v>0</v>
      </c>
      <c r="AC19" s="7">
        <v>1</v>
      </c>
      <c r="AD19" s="7">
        <v>1</v>
      </c>
      <c r="AE19" s="7">
        <v>1</v>
      </c>
      <c r="AF19" s="7">
        <v>1</v>
      </c>
      <c r="AG19" s="7">
        <v>0</v>
      </c>
      <c r="AH19" s="7">
        <v>1</v>
      </c>
      <c r="AI19" s="7">
        <v>1</v>
      </c>
      <c r="AJ19" s="7">
        <v>1</v>
      </c>
      <c r="AK19" s="7">
        <v>0.05</v>
      </c>
      <c r="AL19" s="7">
        <v>0.15</v>
      </c>
      <c r="AM19" s="7">
        <v>0.2</v>
      </c>
      <c r="AN19" s="7">
        <v>58</v>
      </c>
      <c r="AO19" s="7">
        <v>0.33333333300000001</v>
      </c>
      <c r="AP19" s="7">
        <v>1</v>
      </c>
      <c r="AQ19" s="7">
        <v>1</v>
      </c>
    </row>
    <row r="20" spans="1:43" x14ac:dyDescent="0.3">
      <c r="A20" s="6" t="s">
        <v>77</v>
      </c>
      <c r="B20" s="7">
        <v>0.09</v>
      </c>
      <c r="C20" s="7">
        <v>0</v>
      </c>
      <c r="D20" s="7">
        <v>2.5</v>
      </c>
      <c r="E20" s="7">
        <v>0.81620038299999997</v>
      </c>
      <c r="F20" s="7">
        <v>0.278958449</v>
      </c>
      <c r="G20" s="7">
        <v>0.73788870299999998</v>
      </c>
      <c r="H20" s="7">
        <v>0.5</v>
      </c>
      <c r="I20" s="7">
        <v>0</v>
      </c>
      <c r="J20" s="7">
        <v>1</v>
      </c>
      <c r="K20" s="7">
        <v>0.16500000000000001</v>
      </c>
      <c r="L20" s="7">
        <v>1</v>
      </c>
      <c r="M20" s="7">
        <v>1</v>
      </c>
      <c r="N20" s="7">
        <v>0</v>
      </c>
      <c r="O20" s="7">
        <v>0.121512</v>
      </c>
      <c r="P20" s="7">
        <v>0.33500000000000002</v>
      </c>
      <c r="Q20" s="7">
        <v>0</v>
      </c>
      <c r="R20" s="7">
        <v>1.000000008</v>
      </c>
      <c r="S20" s="7">
        <v>0</v>
      </c>
      <c r="T20" s="7">
        <v>0</v>
      </c>
      <c r="U20" s="7">
        <v>0.15</v>
      </c>
      <c r="V20" s="7">
        <v>0.15</v>
      </c>
      <c r="W20" s="7">
        <v>27</v>
      </c>
      <c r="X20" s="7">
        <v>100585.75840000001</v>
      </c>
      <c r="Y20" s="7">
        <v>0.56748106300000001</v>
      </c>
      <c r="Z20" s="7">
        <v>0.5</v>
      </c>
      <c r="AA20" s="7">
        <v>7.9202199999999997E-4</v>
      </c>
      <c r="AB20" s="7">
        <v>0</v>
      </c>
      <c r="AC20" s="7">
        <v>1</v>
      </c>
      <c r="AD20" s="7">
        <v>1</v>
      </c>
      <c r="AE20" s="7">
        <v>1</v>
      </c>
      <c r="AF20" s="7">
        <v>0</v>
      </c>
      <c r="AG20" s="7">
        <v>1</v>
      </c>
      <c r="AH20" s="7">
        <v>1</v>
      </c>
      <c r="AI20" s="7">
        <v>1</v>
      </c>
      <c r="AJ20" s="7">
        <v>0</v>
      </c>
      <c r="AK20" s="7">
        <v>0</v>
      </c>
      <c r="AL20" s="7">
        <v>0</v>
      </c>
      <c r="AM20" s="7">
        <v>0</v>
      </c>
      <c r="AN20" s="7">
        <v>83</v>
      </c>
      <c r="AO20" s="7">
        <v>0.33333333300000001</v>
      </c>
      <c r="AP20" s="7">
        <v>1</v>
      </c>
      <c r="AQ20" s="7">
        <v>1</v>
      </c>
    </row>
    <row r="21" spans="1:43" x14ac:dyDescent="0.3">
      <c r="A21" s="6" t="s">
        <v>78</v>
      </c>
      <c r="B21" s="7">
        <v>0.125</v>
      </c>
      <c r="C21" s="7">
        <v>1</v>
      </c>
      <c r="D21" s="7">
        <v>100</v>
      </c>
      <c r="E21" s="7">
        <v>0.78707516499999997</v>
      </c>
      <c r="F21" s="7">
        <v>0.479318672</v>
      </c>
      <c r="G21" s="7">
        <v>0.64626371900000001</v>
      </c>
      <c r="H21" s="7">
        <v>0</v>
      </c>
      <c r="I21" s="7">
        <v>0</v>
      </c>
      <c r="J21" s="7">
        <v>1</v>
      </c>
      <c r="K21" s="7">
        <v>0.27</v>
      </c>
      <c r="L21" s="7">
        <v>0</v>
      </c>
      <c r="M21" s="7">
        <v>2</v>
      </c>
      <c r="N21" s="7">
        <v>0</v>
      </c>
      <c r="O21" s="7">
        <v>0</v>
      </c>
      <c r="P21" s="7">
        <v>0.52024999999999999</v>
      </c>
      <c r="Q21" s="7">
        <v>1.091739</v>
      </c>
      <c r="R21" s="7">
        <v>1.552682575</v>
      </c>
      <c r="S21" s="7">
        <v>0</v>
      </c>
      <c r="T21" s="7">
        <v>0</v>
      </c>
      <c r="U21" s="7">
        <v>0.33</v>
      </c>
      <c r="V21" s="7">
        <v>0.51</v>
      </c>
      <c r="W21" s="7">
        <v>23</v>
      </c>
      <c r="X21" s="7">
        <v>112456.4727</v>
      </c>
      <c r="Y21" s="7">
        <v>0.47470452699999999</v>
      </c>
      <c r="Z21" s="7">
        <v>0.5</v>
      </c>
      <c r="AA21" s="7">
        <v>0.30585542900000001</v>
      </c>
      <c r="AB21" s="7">
        <v>0</v>
      </c>
      <c r="AC21" s="7">
        <v>1</v>
      </c>
      <c r="AD21" s="7">
        <v>1</v>
      </c>
      <c r="AE21" s="7">
        <v>0</v>
      </c>
      <c r="AF21" s="7">
        <v>0</v>
      </c>
      <c r="AG21" s="7">
        <v>1</v>
      </c>
      <c r="AH21" s="7">
        <v>1</v>
      </c>
      <c r="AI21" s="7">
        <v>1</v>
      </c>
      <c r="AJ21" s="7">
        <v>1</v>
      </c>
      <c r="AK21" s="7">
        <v>0.25</v>
      </c>
      <c r="AL21" s="7">
        <v>0.2</v>
      </c>
      <c r="AM21" s="7">
        <v>0.2</v>
      </c>
      <c r="AN21" s="7">
        <v>74</v>
      </c>
      <c r="AO21" s="7">
        <v>0.33333333300000001</v>
      </c>
      <c r="AP21" s="7">
        <v>1</v>
      </c>
      <c r="AQ21" s="7">
        <v>1</v>
      </c>
    </row>
    <row r="22" spans="1:43" x14ac:dyDescent="0.3">
      <c r="A22" s="6" t="s">
        <v>79</v>
      </c>
      <c r="B22" s="7">
        <v>0.23</v>
      </c>
      <c r="C22" s="7">
        <v>0</v>
      </c>
      <c r="D22" s="7">
        <v>100</v>
      </c>
      <c r="E22" s="7">
        <v>0.90103002399999998</v>
      </c>
      <c r="F22" s="7">
        <v>0.478865241</v>
      </c>
      <c r="G22" s="7">
        <v>0.83537088999999998</v>
      </c>
      <c r="H22" s="7">
        <v>0.5</v>
      </c>
      <c r="I22" s="7">
        <v>0</v>
      </c>
      <c r="J22" s="7">
        <v>1</v>
      </c>
      <c r="K22" s="7">
        <v>-0.01</v>
      </c>
      <c r="L22" s="7">
        <v>0</v>
      </c>
      <c r="M22" s="7">
        <v>0</v>
      </c>
      <c r="N22" s="7">
        <v>0</v>
      </c>
      <c r="O22" s="7">
        <v>1.060414</v>
      </c>
      <c r="P22" s="7">
        <v>0.5</v>
      </c>
      <c r="Q22" s="7">
        <v>3.6672799999999999</v>
      </c>
      <c r="R22" s="7">
        <v>1.7928088470000001</v>
      </c>
      <c r="S22" s="7">
        <v>0</v>
      </c>
      <c r="T22" s="7">
        <v>0</v>
      </c>
      <c r="U22" s="7">
        <v>0.3</v>
      </c>
      <c r="V22" s="7">
        <v>0.35</v>
      </c>
      <c r="W22" s="7">
        <v>18</v>
      </c>
      <c r="X22" s="7">
        <v>33341.335249999996</v>
      </c>
      <c r="Y22" s="7">
        <v>0.59567744099999997</v>
      </c>
      <c r="Z22" s="7">
        <v>0.5</v>
      </c>
      <c r="AA22" s="7">
        <v>0.34828057800000001</v>
      </c>
      <c r="AB22" s="7">
        <v>0</v>
      </c>
      <c r="AC22" s="7">
        <v>0</v>
      </c>
      <c r="AD22" s="7">
        <v>1</v>
      </c>
      <c r="AE22" s="7">
        <v>0</v>
      </c>
      <c r="AF22" s="7">
        <v>0</v>
      </c>
      <c r="AG22" s="7">
        <v>0</v>
      </c>
      <c r="AH22" s="7">
        <v>1</v>
      </c>
      <c r="AI22" s="7">
        <v>1</v>
      </c>
      <c r="AJ22" s="7">
        <v>0</v>
      </c>
      <c r="AK22" s="7">
        <v>0.3</v>
      </c>
      <c r="AL22" s="7">
        <v>0.23</v>
      </c>
      <c r="AM22" s="7">
        <v>0.23</v>
      </c>
      <c r="AN22" s="7">
        <v>60</v>
      </c>
      <c r="AO22" s="7">
        <v>0.33333333300000001</v>
      </c>
      <c r="AP22" s="7">
        <v>0</v>
      </c>
      <c r="AQ22" s="7">
        <v>0</v>
      </c>
    </row>
    <row r="23" spans="1:43" x14ac:dyDescent="0.3">
      <c r="A23" s="6" t="s">
        <v>80</v>
      </c>
      <c r="B23" s="7">
        <v>0.2</v>
      </c>
      <c r="C23" s="7">
        <v>0</v>
      </c>
      <c r="D23" s="7">
        <v>10</v>
      </c>
      <c r="E23" s="7">
        <v>0.86</v>
      </c>
      <c r="F23" s="7">
        <v>0.60235361899999995</v>
      </c>
      <c r="G23" s="7">
        <v>0.81226935</v>
      </c>
      <c r="H23" s="7">
        <v>0.5</v>
      </c>
      <c r="I23" s="7">
        <v>0</v>
      </c>
      <c r="J23" s="7">
        <v>0</v>
      </c>
      <c r="K23" s="7">
        <v>0.36499999999999999</v>
      </c>
      <c r="L23" s="7">
        <v>0</v>
      </c>
      <c r="M23" s="7">
        <v>1</v>
      </c>
      <c r="N23" s="7">
        <v>0</v>
      </c>
      <c r="O23" s="7">
        <v>1.5840959999999999</v>
      </c>
      <c r="P23" s="7">
        <v>0.46279999999999999</v>
      </c>
      <c r="Q23" s="7">
        <v>1.325563</v>
      </c>
      <c r="R23" s="7">
        <v>1.3437820549999999</v>
      </c>
      <c r="S23" s="7">
        <v>0</v>
      </c>
      <c r="T23" s="7">
        <v>2.990386</v>
      </c>
      <c r="U23" s="7">
        <v>0.22</v>
      </c>
      <c r="V23" s="7">
        <v>0.22</v>
      </c>
      <c r="W23" s="7">
        <v>24</v>
      </c>
      <c r="X23" s="7">
        <v>13717.98151</v>
      </c>
      <c r="Y23" s="7">
        <v>0.52593706900000003</v>
      </c>
      <c r="Z23" s="7">
        <v>0</v>
      </c>
      <c r="AA23" s="7">
        <v>9.5300320000000008E-3</v>
      </c>
      <c r="AB23" s="7">
        <v>0</v>
      </c>
      <c r="AC23" s="7">
        <v>1</v>
      </c>
      <c r="AD23" s="7">
        <v>1</v>
      </c>
      <c r="AE23" s="7">
        <v>1</v>
      </c>
      <c r="AF23" s="7">
        <v>0</v>
      </c>
      <c r="AG23" s="7">
        <v>0</v>
      </c>
      <c r="AH23" s="7">
        <v>1</v>
      </c>
      <c r="AI23" s="7">
        <v>1</v>
      </c>
      <c r="AJ23" s="7">
        <v>0</v>
      </c>
      <c r="AK23" s="7">
        <v>0.2</v>
      </c>
      <c r="AL23" s="7">
        <v>0.12</v>
      </c>
      <c r="AM23" s="7">
        <v>0.2</v>
      </c>
      <c r="AN23" s="7">
        <v>47</v>
      </c>
      <c r="AO23" s="7">
        <v>0.66666666699999999</v>
      </c>
      <c r="AP23" s="7">
        <v>1</v>
      </c>
      <c r="AQ23" s="7">
        <v>0</v>
      </c>
    </row>
    <row r="24" spans="1:43" x14ac:dyDescent="0.3">
      <c r="A24" s="6" t="s">
        <v>81</v>
      </c>
      <c r="B24" s="7">
        <v>0.27810000000000001</v>
      </c>
      <c r="C24" s="7">
        <v>0</v>
      </c>
      <c r="D24" s="7">
        <v>80</v>
      </c>
      <c r="E24" s="7">
        <v>0.86986525400000003</v>
      </c>
      <c r="F24" s="7">
        <v>0.57666938000000001</v>
      </c>
      <c r="G24" s="7">
        <v>0.96511627899999997</v>
      </c>
      <c r="H24" s="7">
        <v>1</v>
      </c>
      <c r="I24" s="7">
        <v>0</v>
      </c>
      <c r="J24" s="7">
        <v>0</v>
      </c>
      <c r="K24" s="7">
        <v>0.09</v>
      </c>
      <c r="L24" s="7">
        <v>1</v>
      </c>
      <c r="M24" s="7">
        <v>2</v>
      </c>
      <c r="N24" s="7">
        <v>0</v>
      </c>
      <c r="O24" s="7">
        <v>1.761649</v>
      </c>
      <c r="P24" s="7">
        <v>0.52765572999999999</v>
      </c>
      <c r="Q24" s="7">
        <v>1.551156</v>
      </c>
      <c r="R24" s="7">
        <v>1.3029606789999999</v>
      </c>
      <c r="S24" s="7">
        <v>0</v>
      </c>
      <c r="T24" s="7">
        <v>0</v>
      </c>
      <c r="U24" s="7">
        <v>0.26</v>
      </c>
      <c r="V24" s="7">
        <v>0.26</v>
      </c>
      <c r="W24" s="7">
        <v>22</v>
      </c>
      <c r="X24" s="7">
        <v>139165.1727</v>
      </c>
      <c r="Y24" s="7">
        <v>0.43222494700000003</v>
      </c>
      <c r="Z24" s="7">
        <v>0</v>
      </c>
      <c r="AA24" s="7">
        <v>0.65859137599999995</v>
      </c>
      <c r="AB24" s="7">
        <v>0.5</v>
      </c>
      <c r="AC24" s="7">
        <v>1</v>
      </c>
      <c r="AD24" s="7">
        <v>1</v>
      </c>
      <c r="AE24" s="7">
        <v>0</v>
      </c>
      <c r="AF24" s="7">
        <v>1</v>
      </c>
      <c r="AG24" s="7">
        <v>1</v>
      </c>
      <c r="AH24" s="7">
        <v>0.95</v>
      </c>
      <c r="AI24" s="7">
        <v>0.95</v>
      </c>
      <c r="AJ24" s="7">
        <v>1</v>
      </c>
      <c r="AK24" s="7">
        <v>0.26</v>
      </c>
      <c r="AL24" s="7">
        <v>0.26</v>
      </c>
      <c r="AM24" s="7">
        <v>0.22500000000000001</v>
      </c>
      <c r="AN24" s="7">
        <v>103</v>
      </c>
      <c r="AO24" s="7">
        <v>0.5</v>
      </c>
      <c r="AP24" s="7">
        <v>1</v>
      </c>
      <c r="AQ24" s="7">
        <v>1</v>
      </c>
    </row>
    <row r="25" spans="1:43" x14ac:dyDescent="0.3">
      <c r="A25" s="6" t="s">
        <v>82</v>
      </c>
      <c r="B25" s="7">
        <v>0.2974</v>
      </c>
      <c r="C25" s="7">
        <v>0.5</v>
      </c>
      <c r="D25" s="7">
        <v>5</v>
      </c>
      <c r="E25" s="7">
        <v>0.85902866</v>
      </c>
      <c r="F25" s="7">
        <v>0.278958449</v>
      </c>
      <c r="G25" s="7">
        <v>0.78707516499999997</v>
      </c>
      <c r="H25" s="7">
        <v>0.5</v>
      </c>
      <c r="I25" s="7">
        <v>0</v>
      </c>
      <c r="J25" s="7">
        <v>1</v>
      </c>
      <c r="K25" s="7">
        <v>8.7499999999999994E-2</v>
      </c>
      <c r="L25" s="7">
        <v>0</v>
      </c>
      <c r="M25" s="7">
        <v>1</v>
      </c>
      <c r="N25" s="7">
        <v>1</v>
      </c>
      <c r="O25" s="7">
        <v>6.8990999999999997E-2</v>
      </c>
      <c r="P25" s="7">
        <v>0.56209330000000002</v>
      </c>
      <c r="Q25" s="7">
        <v>8.0634800000000002</v>
      </c>
      <c r="R25" s="7">
        <v>1.119568404</v>
      </c>
      <c r="S25" s="7">
        <v>1</v>
      </c>
      <c r="T25" s="7">
        <v>0</v>
      </c>
      <c r="U25" s="7">
        <v>0.20315</v>
      </c>
      <c r="V25" s="7">
        <v>0.20315</v>
      </c>
      <c r="W25" s="7">
        <v>10</v>
      </c>
      <c r="X25" s="7">
        <v>105141.5998</v>
      </c>
      <c r="Y25" s="7">
        <v>0.70996366600000005</v>
      </c>
      <c r="Z25" s="7">
        <v>0.5</v>
      </c>
      <c r="AA25" s="7">
        <v>6.1652629999999998E-3</v>
      </c>
      <c r="AB25" s="7">
        <v>0</v>
      </c>
      <c r="AC25" s="7">
        <v>1</v>
      </c>
      <c r="AD25" s="7">
        <v>1</v>
      </c>
      <c r="AE25" s="7">
        <v>1</v>
      </c>
      <c r="AF25" s="7">
        <v>1</v>
      </c>
      <c r="AG25" s="7">
        <v>0</v>
      </c>
      <c r="AH25" s="7">
        <v>0.95</v>
      </c>
      <c r="AI25" s="7">
        <v>0</v>
      </c>
      <c r="AJ25" s="7">
        <v>0</v>
      </c>
      <c r="AK25" s="7">
        <v>0.20419999999999999</v>
      </c>
      <c r="AL25" s="7">
        <v>0.20419999999999999</v>
      </c>
      <c r="AM25" s="7">
        <v>0.20419999999999999</v>
      </c>
      <c r="AN25" s="7">
        <v>80</v>
      </c>
      <c r="AO25" s="7">
        <v>0.5</v>
      </c>
      <c r="AP25" s="7">
        <v>1</v>
      </c>
      <c r="AQ25" s="7">
        <v>0.5</v>
      </c>
    </row>
    <row r="26" spans="1:43" x14ac:dyDescent="0.3">
      <c r="A26" s="6" t="s">
        <v>83</v>
      </c>
      <c r="B26" s="7">
        <v>0.26400000000000001</v>
      </c>
      <c r="C26" s="7">
        <v>0.5</v>
      </c>
      <c r="D26" s="7">
        <v>12</v>
      </c>
      <c r="E26" s="7">
        <v>0.92172053200000004</v>
      </c>
      <c r="F26" s="7">
        <v>0.54795391100000002</v>
      </c>
      <c r="G26" s="7">
        <v>0.73788870299999998</v>
      </c>
      <c r="H26" s="7">
        <v>1</v>
      </c>
      <c r="I26" s="7">
        <v>0</v>
      </c>
      <c r="J26" s="7">
        <v>1</v>
      </c>
      <c r="K26" s="7">
        <v>0.13</v>
      </c>
      <c r="L26" s="7">
        <v>0</v>
      </c>
      <c r="M26" s="7">
        <v>4</v>
      </c>
      <c r="N26" s="7">
        <v>0</v>
      </c>
      <c r="O26" s="7">
        <v>0</v>
      </c>
      <c r="P26" s="7">
        <v>0.51976560999999999</v>
      </c>
      <c r="Q26" s="7">
        <v>19.592008</v>
      </c>
      <c r="R26" s="7">
        <v>1.276093476</v>
      </c>
      <c r="S26" s="7">
        <v>1</v>
      </c>
      <c r="T26" s="7">
        <v>0</v>
      </c>
      <c r="U26" s="7">
        <v>0</v>
      </c>
      <c r="V26" s="7">
        <v>0.44450000000000001</v>
      </c>
      <c r="W26" s="7">
        <v>10</v>
      </c>
      <c r="X26" s="7">
        <v>57217.967920000003</v>
      </c>
      <c r="Y26" s="7">
        <v>0.64672599200000003</v>
      </c>
      <c r="Z26" s="7">
        <v>0</v>
      </c>
      <c r="AA26" s="7">
        <v>3.51753E-4</v>
      </c>
      <c r="AB26" s="7">
        <v>0</v>
      </c>
      <c r="AC26" s="7">
        <v>1</v>
      </c>
      <c r="AD26" s="7">
        <v>1</v>
      </c>
      <c r="AE26" s="7">
        <v>0</v>
      </c>
      <c r="AF26" s="7">
        <v>1</v>
      </c>
      <c r="AG26" s="7">
        <v>1</v>
      </c>
      <c r="AH26" s="7">
        <v>0.95</v>
      </c>
      <c r="AI26" s="7">
        <v>0</v>
      </c>
      <c r="AJ26" s="7">
        <v>1</v>
      </c>
      <c r="AK26" s="7">
        <v>0.22</v>
      </c>
      <c r="AL26" s="7">
        <v>0.22</v>
      </c>
      <c r="AM26" s="7">
        <v>0.22</v>
      </c>
      <c r="AN26" s="7">
        <v>96</v>
      </c>
      <c r="AO26" s="7">
        <v>0.5</v>
      </c>
      <c r="AP26" s="7">
        <v>1</v>
      </c>
      <c r="AQ26" s="7">
        <v>0.5</v>
      </c>
    </row>
    <row r="27" spans="1:43" x14ac:dyDescent="0.3">
      <c r="A27" s="6" t="s">
        <v>84</v>
      </c>
      <c r="B27" s="7">
        <v>0.16</v>
      </c>
      <c r="C27" s="7">
        <v>0</v>
      </c>
      <c r="D27" s="7">
        <v>70</v>
      </c>
      <c r="E27" s="7">
        <v>0.90526315800000001</v>
      </c>
      <c r="F27" s="7">
        <v>0.82692307700000001</v>
      </c>
      <c r="G27" s="7">
        <v>0.96619433200000004</v>
      </c>
      <c r="H27" s="7">
        <v>1</v>
      </c>
      <c r="I27" s="7">
        <v>0</v>
      </c>
      <c r="J27" s="7">
        <v>1</v>
      </c>
      <c r="K27" s="7">
        <v>0.28000000000000003</v>
      </c>
      <c r="L27" s="7">
        <v>0</v>
      </c>
      <c r="M27" s="7">
        <v>2</v>
      </c>
      <c r="N27" s="7">
        <v>0</v>
      </c>
      <c r="O27" s="7">
        <v>0</v>
      </c>
      <c r="P27" s="7">
        <v>0.38979999999999998</v>
      </c>
      <c r="Q27" s="7">
        <v>4.4322350000000004</v>
      </c>
      <c r="R27" s="7">
        <v>1.242494751</v>
      </c>
      <c r="S27" s="7">
        <v>0</v>
      </c>
      <c r="T27" s="7">
        <v>0</v>
      </c>
      <c r="U27" s="7">
        <v>0.2</v>
      </c>
      <c r="V27" s="7">
        <v>0.15</v>
      </c>
      <c r="W27" s="7">
        <v>21</v>
      </c>
      <c r="X27" s="7">
        <v>90189.940010000006</v>
      </c>
      <c r="Y27" s="7">
        <v>0.57658543900000003</v>
      </c>
      <c r="Z27" s="7">
        <v>0.5</v>
      </c>
      <c r="AA27" s="7">
        <v>0.29345318399999998</v>
      </c>
      <c r="AB27" s="7">
        <v>0</v>
      </c>
      <c r="AC27" s="7">
        <v>1</v>
      </c>
      <c r="AD27" s="7">
        <v>0</v>
      </c>
      <c r="AE27" s="7">
        <v>0</v>
      </c>
      <c r="AF27" s="7">
        <v>0</v>
      </c>
      <c r="AG27" s="7">
        <v>0</v>
      </c>
      <c r="AH27" s="7">
        <v>1</v>
      </c>
      <c r="AI27" s="7">
        <v>1</v>
      </c>
      <c r="AJ27" s="7">
        <v>1</v>
      </c>
      <c r="AK27" s="7">
        <v>0.16</v>
      </c>
      <c r="AL27" s="7">
        <v>0.1</v>
      </c>
      <c r="AM27" s="7">
        <v>0.1</v>
      </c>
      <c r="AN27" s="7">
        <v>58</v>
      </c>
      <c r="AO27" s="7">
        <v>0.33333333300000001</v>
      </c>
      <c r="AP27" s="7">
        <v>1</v>
      </c>
      <c r="AQ27" s="7">
        <v>0</v>
      </c>
    </row>
    <row r="28" spans="1:43" x14ac:dyDescent="0.3">
      <c r="A28" s="6" t="s">
        <v>85</v>
      </c>
      <c r="B28" s="7">
        <v>0.2387</v>
      </c>
      <c r="C28" s="7">
        <v>0</v>
      </c>
      <c r="D28" s="7">
        <v>17</v>
      </c>
      <c r="E28" s="7">
        <v>0.87341735099999995</v>
      </c>
      <c r="F28" s="7">
        <v>0.479318672</v>
      </c>
      <c r="G28" s="7">
        <v>0.86986525400000003</v>
      </c>
      <c r="H28" s="7">
        <v>1</v>
      </c>
      <c r="I28" s="7">
        <v>0</v>
      </c>
      <c r="J28" s="7">
        <v>1</v>
      </c>
      <c r="K28" s="7">
        <v>-0.01</v>
      </c>
      <c r="L28" s="7">
        <v>0</v>
      </c>
      <c r="M28" s="7">
        <v>2</v>
      </c>
      <c r="N28" s="7">
        <v>1</v>
      </c>
      <c r="O28" s="7">
        <v>3.4009999999999999E-2</v>
      </c>
      <c r="P28" s="7">
        <v>0.4718</v>
      </c>
      <c r="Q28" s="7">
        <v>3.214912</v>
      </c>
      <c r="R28" s="7">
        <v>1.3778623379999999</v>
      </c>
      <c r="S28" s="7">
        <v>1</v>
      </c>
      <c r="T28" s="7">
        <v>0</v>
      </c>
      <c r="U28" s="7">
        <v>0</v>
      </c>
      <c r="V28" s="7">
        <v>0.21</v>
      </c>
      <c r="W28" s="7">
        <v>17</v>
      </c>
      <c r="X28" s="7">
        <v>59335.771639999999</v>
      </c>
      <c r="Y28" s="7">
        <v>0.82210682400000001</v>
      </c>
      <c r="Z28" s="7">
        <v>0.5</v>
      </c>
      <c r="AA28" s="7">
        <v>5.3579570999999999E-2</v>
      </c>
      <c r="AB28" s="7">
        <v>0</v>
      </c>
      <c r="AC28" s="7">
        <v>1</v>
      </c>
      <c r="AD28" s="7">
        <v>1</v>
      </c>
      <c r="AE28" s="7">
        <v>1</v>
      </c>
      <c r="AF28" s="7">
        <v>0</v>
      </c>
      <c r="AG28" s="7">
        <v>0</v>
      </c>
      <c r="AH28" s="7">
        <v>1</v>
      </c>
      <c r="AI28" s="7">
        <v>1</v>
      </c>
      <c r="AJ28" s="7">
        <v>0</v>
      </c>
      <c r="AK28" s="7">
        <v>0.15</v>
      </c>
      <c r="AL28" s="7">
        <v>0</v>
      </c>
      <c r="AM28" s="7">
        <v>0</v>
      </c>
      <c r="AN28" s="7">
        <v>87</v>
      </c>
      <c r="AO28" s="7">
        <v>0.33333333300000001</v>
      </c>
      <c r="AP28" s="7">
        <v>1</v>
      </c>
      <c r="AQ28" s="7">
        <v>1</v>
      </c>
    </row>
    <row r="29" spans="1:43" x14ac:dyDescent="0.3">
      <c r="A29" s="6" t="s">
        <v>86</v>
      </c>
      <c r="B29" s="7">
        <v>0.2</v>
      </c>
      <c r="C29" s="7">
        <v>100</v>
      </c>
      <c r="D29" s="7">
        <v>100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0.36</v>
      </c>
      <c r="Q29" s="7">
        <v>9.9129000000000005</v>
      </c>
      <c r="R29" s="7">
        <v>1.1659504549999999</v>
      </c>
      <c r="S29" s="7">
        <v>0</v>
      </c>
      <c r="T29" s="7">
        <v>0</v>
      </c>
      <c r="U29" s="7">
        <v>0.28499999999999998</v>
      </c>
      <c r="V29" s="7">
        <v>0</v>
      </c>
      <c r="W29" s="7">
        <v>21</v>
      </c>
      <c r="X29" s="7">
        <v>101595.24860000001</v>
      </c>
      <c r="Y29" s="7">
        <v>0.65115747199999996</v>
      </c>
      <c r="Z29" s="7">
        <v>0.5</v>
      </c>
      <c r="AA29" s="7">
        <v>0.44493137300000002</v>
      </c>
      <c r="AB29" s="7">
        <v>0</v>
      </c>
      <c r="AC29" s="7">
        <v>0</v>
      </c>
      <c r="AD29" s="7">
        <v>1</v>
      </c>
      <c r="AE29" s="7">
        <v>0</v>
      </c>
      <c r="AF29" s="7">
        <v>0</v>
      </c>
      <c r="AG29" s="7">
        <v>0</v>
      </c>
      <c r="AH29" s="7">
        <v>1</v>
      </c>
      <c r="AI29" s="7">
        <v>1</v>
      </c>
      <c r="AJ29" s="7">
        <v>1</v>
      </c>
      <c r="AK29" s="7">
        <v>0</v>
      </c>
      <c r="AL29" s="7">
        <v>0</v>
      </c>
      <c r="AM29" s="7">
        <v>0</v>
      </c>
      <c r="AN29" s="7">
        <v>63</v>
      </c>
      <c r="AO29" s="7">
        <v>0.33333333300000001</v>
      </c>
      <c r="AP29" s="7">
        <v>1</v>
      </c>
      <c r="AQ29" s="7">
        <v>0</v>
      </c>
    </row>
    <row r="30" spans="1:43" x14ac:dyDescent="0.3">
      <c r="A30" s="6" t="s">
        <v>87</v>
      </c>
      <c r="B30" s="7">
        <v>0.3</v>
      </c>
      <c r="C30" s="7">
        <v>0</v>
      </c>
      <c r="D30" s="7">
        <v>10</v>
      </c>
      <c r="E30" s="7">
        <v>0.79521952500000004</v>
      </c>
      <c r="F30" s="7">
        <v>0.63038267599999998</v>
      </c>
      <c r="G30" s="7">
        <v>0.79521952500000004</v>
      </c>
      <c r="H30" s="7">
        <v>0.5</v>
      </c>
      <c r="I30" s="7">
        <v>0</v>
      </c>
      <c r="J30" s="7">
        <v>0</v>
      </c>
      <c r="K30" s="7">
        <v>5.5E-2</v>
      </c>
      <c r="L30" s="7">
        <v>0</v>
      </c>
      <c r="M30" s="7">
        <v>0</v>
      </c>
      <c r="N30" s="7">
        <v>0</v>
      </c>
      <c r="O30" s="7">
        <v>0.25425900000000001</v>
      </c>
      <c r="P30" s="7">
        <v>0.35</v>
      </c>
      <c r="Q30" s="7">
        <v>22.58905</v>
      </c>
      <c r="R30" s="7">
        <v>1.1797486559999999</v>
      </c>
      <c r="S30" s="7">
        <v>0</v>
      </c>
      <c r="T30" s="7">
        <v>2.3970739999999999</v>
      </c>
      <c r="U30" s="7">
        <v>0.1</v>
      </c>
      <c r="V30" s="7">
        <v>0.17142857</v>
      </c>
      <c r="W30" s="7">
        <v>16</v>
      </c>
      <c r="X30" s="7">
        <v>0</v>
      </c>
      <c r="Y30" s="7">
        <v>0.34978705399999999</v>
      </c>
      <c r="Z30" s="7">
        <v>0.5</v>
      </c>
      <c r="AA30" s="7">
        <v>6.379539E-3</v>
      </c>
      <c r="AB30" s="7">
        <v>0</v>
      </c>
      <c r="AC30" s="7">
        <v>0</v>
      </c>
      <c r="AD30" s="7">
        <v>1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0.1</v>
      </c>
      <c r="AL30" s="7">
        <v>0.35</v>
      </c>
      <c r="AM30" s="7">
        <v>0.35</v>
      </c>
      <c r="AN30" s="7">
        <v>60</v>
      </c>
      <c r="AO30" s="7">
        <v>0.66666666699999999</v>
      </c>
      <c r="AP30" s="7">
        <v>1</v>
      </c>
      <c r="AQ30" s="7">
        <v>0</v>
      </c>
    </row>
    <row r="31" spans="1:43" x14ac:dyDescent="0.3">
      <c r="A31" s="6" t="s">
        <v>88</v>
      </c>
      <c r="B31" s="7">
        <v>0.25800000000000001</v>
      </c>
      <c r="C31" s="7">
        <v>0.5</v>
      </c>
      <c r="D31" s="7">
        <v>50</v>
      </c>
      <c r="E31" s="7">
        <v>0.81346319499999997</v>
      </c>
      <c r="F31" s="7">
        <v>0.33847473300000003</v>
      </c>
      <c r="G31" s="7">
        <v>0.86986525400000003</v>
      </c>
      <c r="H31" s="7">
        <v>1</v>
      </c>
      <c r="I31" s="7">
        <v>0</v>
      </c>
      <c r="J31" s="7">
        <v>1</v>
      </c>
      <c r="K31" s="7">
        <v>0.22500000000000001</v>
      </c>
      <c r="L31" s="7">
        <v>0</v>
      </c>
      <c r="M31" s="7">
        <v>2</v>
      </c>
      <c r="N31" s="7">
        <v>0</v>
      </c>
      <c r="O31" s="7">
        <v>7.306E-3</v>
      </c>
      <c r="P31" s="7">
        <v>0.51529197000000004</v>
      </c>
      <c r="Q31" s="7">
        <v>1.2246490000000001</v>
      </c>
      <c r="R31" s="7">
        <v>1.5047620850000001</v>
      </c>
      <c r="S31" s="7">
        <v>0</v>
      </c>
      <c r="T31" s="7">
        <v>0</v>
      </c>
      <c r="U31" s="7">
        <v>0.36</v>
      </c>
      <c r="V31" s="7">
        <v>0.31</v>
      </c>
      <c r="W31" s="7">
        <v>21</v>
      </c>
      <c r="X31" s="7">
        <v>26724.748449999999</v>
      </c>
      <c r="Y31" s="7">
        <v>0.54864450399999998</v>
      </c>
      <c r="Z31" s="7">
        <v>0.5</v>
      </c>
      <c r="AA31" s="7">
        <v>0.51813341300000004</v>
      </c>
      <c r="AB31" s="7">
        <v>0</v>
      </c>
      <c r="AC31" s="7">
        <v>1</v>
      </c>
      <c r="AD31" s="7">
        <v>1</v>
      </c>
      <c r="AE31" s="7">
        <v>1</v>
      </c>
      <c r="AF31" s="7">
        <v>0</v>
      </c>
      <c r="AG31" s="7">
        <v>0</v>
      </c>
      <c r="AH31" s="7">
        <v>1</v>
      </c>
      <c r="AI31" s="7">
        <v>1</v>
      </c>
      <c r="AJ31" s="7">
        <v>0</v>
      </c>
      <c r="AK31" s="7">
        <v>0.15</v>
      </c>
      <c r="AL31" s="7">
        <v>0</v>
      </c>
      <c r="AM31" s="7">
        <v>0</v>
      </c>
      <c r="AN31" s="7">
        <v>97</v>
      </c>
      <c r="AO31" s="7">
        <v>0.33333333300000001</v>
      </c>
      <c r="AP31" s="7">
        <v>1</v>
      </c>
      <c r="AQ31" s="7">
        <v>1</v>
      </c>
    </row>
    <row r="32" spans="1:43" x14ac:dyDescent="0.3">
      <c r="A32" s="6" t="s">
        <v>89</v>
      </c>
      <c r="B32" s="7">
        <v>0.22</v>
      </c>
      <c r="C32" s="7">
        <v>0</v>
      </c>
      <c r="D32" s="7">
        <v>100</v>
      </c>
      <c r="E32" s="7">
        <v>0.78181818199999997</v>
      </c>
      <c r="F32" s="7">
        <v>0.373913043</v>
      </c>
      <c r="G32" s="7">
        <v>0.73788870299999998</v>
      </c>
      <c r="H32" s="7">
        <v>0</v>
      </c>
      <c r="I32" s="7">
        <v>0</v>
      </c>
      <c r="J32" s="7">
        <v>0</v>
      </c>
      <c r="K32" s="7">
        <v>0.22</v>
      </c>
      <c r="L32" s="7">
        <v>0</v>
      </c>
      <c r="M32" s="7">
        <v>1</v>
      </c>
      <c r="N32" s="7">
        <v>0</v>
      </c>
      <c r="O32" s="7">
        <v>0</v>
      </c>
      <c r="P32" s="7">
        <v>0.47399999999999998</v>
      </c>
      <c r="Q32" s="7">
        <v>1.767633</v>
      </c>
      <c r="R32" s="7">
        <v>1.302746398</v>
      </c>
      <c r="S32" s="7">
        <v>0</v>
      </c>
      <c r="T32" s="7">
        <v>0</v>
      </c>
      <c r="U32" s="7">
        <v>0.378</v>
      </c>
      <c r="V32" s="7">
        <v>0.37840000000000001</v>
      </c>
      <c r="W32" s="7">
        <v>25</v>
      </c>
      <c r="X32" s="7">
        <v>5415.252383</v>
      </c>
      <c r="Y32" s="7">
        <v>0.56589245399999999</v>
      </c>
      <c r="Z32" s="7">
        <v>0.5</v>
      </c>
      <c r="AA32" s="7">
        <v>2.1223611E-2</v>
      </c>
      <c r="AB32" s="7">
        <v>1</v>
      </c>
      <c r="AC32" s="7">
        <v>0</v>
      </c>
      <c r="AD32" s="7">
        <v>1</v>
      </c>
      <c r="AE32" s="7">
        <v>0</v>
      </c>
      <c r="AF32" s="7">
        <v>0</v>
      </c>
      <c r="AG32" s="7">
        <v>0</v>
      </c>
      <c r="AH32" s="7">
        <v>0.97</v>
      </c>
      <c r="AI32" s="7">
        <v>1</v>
      </c>
      <c r="AJ32" s="7">
        <v>1</v>
      </c>
      <c r="AK32" s="7">
        <v>0.25</v>
      </c>
      <c r="AL32" s="7">
        <v>0</v>
      </c>
      <c r="AM32" s="7">
        <v>0</v>
      </c>
      <c r="AN32" s="7">
        <v>83</v>
      </c>
      <c r="AO32" s="7">
        <v>0.5</v>
      </c>
      <c r="AP32" s="7">
        <v>1</v>
      </c>
      <c r="AQ32" s="7">
        <v>1</v>
      </c>
    </row>
    <row r="33" spans="1:43" x14ac:dyDescent="0.3">
      <c r="A33" s="6" t="s">
        <v>90</v>
      </c>
      <c r="B33" s="7">
        <v>0.28000000000000003</v>
      </c>
      <c r="C33" s="7">
        <v>0</v>
      </c>
      <c r="D33" s="7">
        <v>100</v>
      </c>
      <c r="E33" s="7">
        <v>0.74468085100000003</v>
      </c>
      <c r="F33" s="7">
        <v>0.2</v>
      </c>
      <c r="G33" s="7">
        <v>0.54795391100000002</v>
      </c>
      <c r="H33" s="7">
        <v>0.5</v>
      </c>
      <c r="I33" s="7">
        <v>0</v>
      </c>
      <c r="J33" s="7">
        <v>0</v>
      </c>
      <c r="K33" s="7">
        <v>0.18</v>
      </c>
      <c r="L33" s="7">
        <v>0</v>
      </c>
      <c r="M33" s="7">
        <v>0</v>
      </c>
      <c r="N33" s="7">
        <v>0</v>
      </c>
      <c r="O33" s="7">
        <v>1.4403550000000001</v>
      </c>
      <c r="P33" s="7">
        <v>0.39</v>
      </c>
      <c r="Q33" s="7">
        <v>2.2494749999999999</v>
      </c>
      <c r="R33" s="7">
        <v>1.5533755119999999</v>
      </c>
      <c r="S33" s="7">
        <v>0</v>
      </c>
      <c r="T33" s="7">
        <v>0</v>
      </c>
      <c r="U33" s="7">
        <v>0</v>
      </c>
      <c r="V33" s="7">
        <v>0.15277778</v>
      </c>
      <c r="W33" s="7">
        <v>15</v>
      </c>
      <c r="X33" s="7">
        <v>41040.513830000004</v>
      </c>
      <c r="Y33" s="7">
        <v>0.95738317100000003</v>
      </c>
      <c r="Z33" s="7">
        <v>0.5</v>
      </c>
      <c r="AA33" s="7">
        <v>0.90484437900000003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1</v>
      </c>
      <c r="AI33" s="7">
        <v>1</v>
      </c>
      <c r="AJ33" s="7">
        <v>0</v>
      </c>
      <c r="AK33" s="7">
        <v>0.3</v>
      </c>
      <c r="AL33" s="7">
        <v>0.15</v>
      </c>
      <c r="AM33" s="7">
        <v>0.15</v>
      </c>
      <c r="AN33" s="7">
        <v>41</v>
      </c>
      <c r="AO33" s="7">
        <v>0.33333333300000001</v>
      </c>
      <c r="AP33" s="7">
        <v>0.5</v>
      </c>
      <c r="AQ33" s="7">
        <v>1</v>
      </c>
    </row>
    <row r="34" spans="1:43" x14ac:dyDescent="0.3">
      <c r="A34" s="6" t="s">
        <v>91</v>
      </c>
      <c r="B34" s="7">
        <v>0.19</v>
      </c>
      <c r="C34" s="7">
        <v>0</v>
      </c>
      <c r="D34" s="7">
        <v>2.5</v>
      </c>
      <c r="E34" s="7">
        <v>0.73788870299999998</v>
      </c>
      <c r="F34" s="7">
        <v>0.33847473300000003</v>
      </c>
      <c r="G34" s="7">
        <v>0.86986525400000003</v>
      </c>
      <c r="H34" s="7">
        <v>1</v>
      </c>
      <c r="I34" s="7">
        <v>1</v>
      </c>
      <c r="J34" s="7">
        <v>1</v>
      </c>
      <c r="K34" s="7">
        <v>0.32</v>
      </c>
      <c r="L34" s="7">
        <v>1</v>
      </c>
      <c r="M34" s="7">
        <v>3</v>
      </c>
      <c r="N34" s="7">
        <v>0</v>
      </c>
      <c r="O34" s="7">
        <v>0</v>
      </c>
      <c r="P34" s="7">
        <v>0.36</v>
      </c>
      <c r="Q34" s="7">
        <v>12.319503409999999</v>
      </c>
      <c r="R34" s="7">
        <v>1.227629316</v>
      </c>
      <c r="S34" s="7">
        <v>0</v>
      </c>
      <c r="T34" s="7">
        <v>8.265504</v>
      </c>
      <c r="U34" s="7">
        <v>0.19</v>
      </c>
      <c r="V34" s="7">
        <v>0.19</v>
      </c>
      <c r="W34" s="7">
        <v>23</v>
      </c>
      <c r="X34" s="7">
        <v>101150.7926</v>
      </c>
      <c r="Y34" s="7">
        <v>0.45903140399999998</v>
      </c>
      <c r="Z34" s="7">
        <v>0.5</v>
      </c>
      <c r="AA34" s="7">
        <v>0.24468437900000001</v>
      </c>
      <c r="AB34" s="7">
        <v>0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0</v>
      </c>
      <c r="AJ34" s="7">
        <v>1</v>
      </c>
      <c r="AK34" s="7">
        <v>0.19</v>
      </c>
      <c r="AL34" s="7">
        <v>0.2</v>
      </c>
      <c r="AM34" s="7">
        <v>0.2</v>
      </c>
      <c r="AN34" s="7">
        <v>88</v>
      </c>
      <c r="AO34" s="7">
        <v>0.5</v>
      </c>
      <c r="AP34" s="7">
        <v>1</v>
      </c>
      <c r="AQ34" s="7">
        <v>1</v>
      </c>
    </row>
    <row r="35" spans="1:43" x14ac:dyDescent="0.3">
      <c r="A35" s="6" t="s">
        <v>92</v>
      </c>
      <c r="B35" s="7">
        <v>0.30499999999999999</v>
      </c>
      <c r="C35" s="7">
        <v>0</v>
      </c>
      <c r="D35" s="7">
        <v>65</v>
      </c>
      <c r="E35" s="7">
        <v>0.88841124699999996</v>
      </c>
      <c r="F35" s="7">
        <v>0.54795391100000002</v>
      </c>
      <c r="G35" s="7">
        <v>0.54795391100000002</v>
      </c>
      <c r="H35" s="7">
        <v>0.5</v>
      </c>
      <c r="I35" s="7">
        <v>1</v>
      </c>
      <c r="J35" s="7">
        <v>1</v>
      </c>
      <c r="K35" s="7">
        <v>0.35</v>
      </c>
      <c r="L35" s="7">
        <v>1</v>
      </c>
      <c r="M35" s="7">
        <v>6</v>
      </c>
      <c r="N35" s="7">
        <v>0</v>
      </c>
      <c r="O35" s="7">
        <v>0.16437599999999999</v>
      </c>
      <c r="P35" s="7">
        <v>0.58169999999999999</v>
      </c>
      <c r="Q35" s="7">
        <v>12.435794</v>
      </c>
      <c r="R35" s="7">
        <v>1.213097807</v>
      </c>
      <c r="S35" s="7">
        <v>0</v>
      </c>
      <c r="T35" s="7">
        <v>0</v>
      </c>
      <c r="U35" s="7">
        <v>0.19600000000000001</v>
      </c>
      <c r="V35" s="7">
        <v>0.28000000000000003</v>
      </c>
      <c r="W35" s="7">
        <v>23</v>
      </c>
      <c r="X35" s="7">
        <v>28490.569619999998</v>
      </c>
      <c r="Y35" s="7">
        <v>0.55764410900000005</v>
      </c>
      <c r="Z35" s="7">
        <v>0.5</v>
      </c>
      <c r="AA35" s="7">
        <v>0.443791086</v>
      </c>
      <c r="AB35" s="7">
        <v>0</v>
      </c>
      <c r="AC35" s="7">
        <v>1</v>
      </c>
      <c r="AD35" s="7">
        <v>1</v>
      </c>
      <c r="AE35" s="7">
        <v>1</v>
      </c>
      <c r="AF35" s="7">
        <v>0</v>
      </c>
      <c r="AG35" s="7">
        <v>0</v>
      </c>
      <c r="AH35" s="7">
        <v>1</v>
      </c>
      <c r="AI35" s="7">
        <v>1</v>
      </c>
      <c r="AJ35" s="7">
        <v>1</v>
      </c>
      <c r="AK35" s="7">
        <v>0.25</v>
      </c>
      <c r="AL35" s="7">
        <v>0.25</v>
      </c>
      <c r="AM35" s="7">
        <v>0.25</v>
      </c>
      <c r="AN35" s="7">
        <v>78</v>
      </c>
      <c r="AO35" s="7">
        <v>0.5</v>
      </c>
      <c r="AP35" s="7">
        <v>1</v>
      </c>
      <c r="AQ35" s="7">
        <v>1</v>
      </c>
    </row>
    <row r="36" spans="1:43" x14ac:dyDescent="0.3">
      <c r="A36" s="6" t="s">
        <v>93</v>
      </c>
      <c r="B36" s="7">
        <v>0.20599999999999999</v>
      </c>
      <c r="C36" s="7">
        <v>0</v>
      </c>
      <c r="D36" s="7">
        <v>100</v>
      </c>
      <c r="E36" s="7">
        <v>0.86</v>
      </c>
      <c r="F36" s="7">
        <v>0.479318672</v>
      </c>
      <c r="G36" s="7">
        <v>0.86</v>
      </c>
      <c r="H36" s="7">
        <v>0</v>
      </c>
      <c r="I36" s="7">
        <v>0</v>
      </c>
      <c r="J36" s="7">
        <v>0</v>
      </c>
      <c r="K36" s="7">
        <v>0.11</v>
      </c>
      <c r="L36" s="7">
        <v>0</v>
      </c>
      <c r="M36" s="7">
        <v>1</v>
      </c>
      <c r="N36" s="7">
        <v>0</v>
      </c>
      <c r="O36" s="7">
        <v>0</v>
      </c>
      <c r="P36" s="7">
        <v>0.52370000000000005</v>
      </c>
      <c r="Q36" s="7">
        <v>1.145146</v>
      </c>
      <c r="R36" s="7">
        <v>1.230004452</v>
      </c>
      <c r="S36" s="7">
        <v>0</v>
      </c>
      <c r="T36" s="7">
        <v>-3.9785000000000001E-2</v>
      </c>
      <c r="U36" s="7">
        <v>0.3</v>
      </c>
      <c r="V36" s="7">
        <v>0.3</v>
      </c>
      <c r="W36" s="7">
        <v>25</v>
      </c>
      <c r="X36" s="7">
        <v>13973.247520000001</v>
      </c>
      <c r="Y36" s="7">
        <v>0.57312344599999998</v>
      </c>
      <c r="Z36" s="7">
        <v>0.5</v>
      </c>
      <c r="AA36" s="7">
        <v>3.5297444999999997E-2</v>
      </c>
      <c r="AB36" s="7">
        <v>0</v>
      </c>
      <c r="AC36" s="7">
        <v>0</v>
      </c>
      <c r="AD36" s="7">
        <v>1</v>
      </c>
      <c r="AE36" s="7">
        <v>1</v>
      </c>
      <c r="AF36" s="7">
        <v>0</v>
      </c>
      <c r="AG36" s="7">
        <v>0</v>
      </c>
      <c r="AH36" s="7">
        <v>1</v>
      </c>
      <c r="AI36" s="7">
        <v>1</v>
      </c>
      <c r="AJ36" s="7">
        <v>0</v>
      </c>
      <c r="AK36" s="7">
        <v>0.3</v>
      </c>
      <c r="AL36" s="7">
        <v>0</v>
      </c>
      <c r="AM36" s="7">
        <v>0</v>
      </c>
      <c r="AN36" s="7">
        <v>83</v>
      </c>
      <c r="AO36" s="7">
        <v>0.66666666699999999</v>
      </c>
      <c r="AP36" s="7">
        <v>1</v>
      </c>
      <c r="AQ36" s="7">
        <v>1</v>
      </c>
    </row>
    <row r="37" spans="1:43" x14ac:dyDescent="0.3">
      <c r="A37" s="6" t="s">
        <v>94</v>
      </c>
      <c r="B37" s="7">
        <v>0.22</v>
      </c>
      <c r="C37" s="7">
        <v>0</v>
      </c>
      <c r="D37" s="7">
        <v>3.15</v>
      </c>
      <c r="E37" s="7">
        <v>0.86986525400000003</v>
      </c>
      <c r="F37" s="7">
        <v>0.391406013</v>
      </c>
      <c r="G37" s="7">
        <v>0.73788870299999998</v>
      </c>
      <c r="H37" s="7">
        <v>0.5</v>
      </c>
      <c r="I37" s="7">
        <v>0</v>
      </c>
      <c r="J37" s="7">
        <v>0</v>
      </c>
      <c r="K37" s="7">
        <v>0.23</v>
      </c>
      <c r="L37" s="7">
        <v>0</v>
      </c>
      <c r="M37" s="7">
        <v>1</v>
      </c>
      <c r="N37" s="7">
        <v>0</v>
      </c>
      <c r="O37" s="7">
        <v>4.9579999999999997E-3</v>
      </c>
      <c r="P37" s="7">
        <v>0.61050000000000004</v>
      </c>
      <c r="Q37" s="7">
        <v>3.6805970000000001</v>
      </c>
      <c r="R37" s="7">
        <v>1.1640000740000001</v>
      </c>
      <c r="S37" s="7">
        <v>0</v>
      </c>
      <c r="T37" s="7">
        <v>0</v>
      </c>
      <c r="U37" s="7">
        <v>0</v>
      </c>
      <c r="V37" s="7">
        <v>0.25</v>
      </c>
      <c r="W37" s="7">
        <v>22</v>
      </c>
      <c r="X37" s="7">
        <v>107695.1796</v>
      </c>
      <c r="Y37" s="7">
        <v>0.58257770600000003</v>
      </c>
      <c r="Z37" s="7">
        <v>0</v>
      </c>
      <c r="AA37" s="7">
        <v>0.33270750700000001</v>
      </c>
      <c r="AB37" s="7">
        <v>0</v>
      </c>
      <c r="AC37" s="7">
        <v>1</v>
      </c>
      <c r="AD37" s="7">
        <v>1</v>
      </c>
      <c r="AE37" s="7">
        <v>0</v>
      </c>
      <c r="AF37" s="7">
        <v>0</v>
      </c>
      <c r="AG37" s="7">
        <v>0</v>
      </c>
      <c r="AH37" s="7">
        <v>0.95</v>
      </c>
      <c r="AI37" s="7">
        <v>0.47499999999999998</v>
      </c>
      <c r="AJ37" s="7">
        <v>1</v>
      </c>
      <c r="AK37" s="7">
        <v>0.15</v>
      </c>
      <c r="AL37" s="7">
        <v>0.15</v>
      </c>
      <c r="AM37" s="7">
        <v>0.15</v>
      </c>
      <c r="AN37" s="7">
        <v>60</v>
      </c>
      <c r="AO37" s="7">
        <v>0.33333333300000001</v>
      </c>
      <c r="AP37" s="7">
        <v>0.5</v>
      </c>
      <c r="AQ37" s="7">
        <v>1</v>
      </c>
    </row>
    <row r="38" spans="1:43" x14ac:dyDescent="0.3">
      <c r="A38" s="6" t="s">
        <v>95</v>
      </c>
      <c r="B38" s="7">
        <v>0.24</v>
      </c>
      <c r="C38" s="7">
        <v>0</v>
      </c>
      <c r="D38" s="7">
        <v>2.5</v>
      </c>
      <c r="E38" s="7">
        <v>0.87387910800000002</v>
      </c>
      <c r="F38" s="7">
        <v>0.54795391100000002</v>
      </c>
      <c r="G38" s="7">
        <v>0.86986525400000003</v>
      </c>
      <c r="H38" s="7">
        <v>0.5</v>
      </c>
      <c r="I38" s="7">
        <v>0</v>
      </c>
      <c r="J38" s="7">
        <v>1</v>
      </c>
      <c r="K38" s="7">
        <v>0.25</v>
      </c>
      <c r="L38" s="7">
        <v>0</v>
      </c>
      <c r="M38" s="7">
        <v>3</v>
      </c>
      <c r="N38" s="7">
        <v>0</v>
      </c>
      <c r="O38" s="7">
        <v>0.35059400000000002</v>
      </c>
      <c r="P38" s="7">
        <v>0.35049999999999998</v>
      </c>
      <c r="Q38" s="7">
        <v>2.9626600000000001</v>
      </c>
      <c r="R38" s="7">
        <v>1.1289247650000001</v>
      </c>
      <c r="S38" s="7">
        <v>0</v>
      </c>
      <c r="T38" s="7">
        <v>0</v>
      </c>
      <c r="U38" s="7">
        <v>0</v>
      </c>
      <c r="V38" s="7">
        <v>7.0000000000000007E-2</v>
      </c>
      <c r="W38" s="7">
        <v>23</v>
      </c>
      <c r="X38" s="7">
        <v>122064.3523</v>
      </c>
      <c r="Y38" s="7">
        <v>0.55922587800000001</v>
      </c>
      <c r="Z38" s="7">
        <v>0.5</v>
      </c>
      <c r="AA38" s="7">
        <v>0.313898862</v>
      </c>
      <c r="AB38" s="7">
        <v>0</v>
      </c>
      <c r="AC38" s="7">
        <v>0</v>
      </c>
      <c r="AD38" s="7">
        <v>0</v>
      </c>
      <c r="AE38" s="7">
        <v>1</v>
      </c>
      <c r="AF38" s="7">
        <v>0</v>
      </c>
      <c r="AG38" s="7">
        <v>1</v>
      </c>
      <c r="AH38" s="7">
        <v>1</v>
      </c>
      <c r="AI38" s="7">
        <v>1</v>
      </c>
      <c r="AJ38" s="7">
        <v>1</v>
      </c>
      <c r="AK38" s="7">
        <v>0.35</v>
      </c>
      <c r="AL38" s="7">
        <v>0.19</v>
      </c>
      <c r="AM38" s="7">
        <v>0.19</v>
      </c>
      <c r="AN38" s="7">
        <v>75</v>
      </c>
      <c r="AO38" s="7">
        <v>0.5</v>
      </c>
      <c r="AP38" s="7">
        <v>1</v>
      </c>
      <c r="AQ38" s="7">
        <v>0</v>
      </c>
    </row>
    <row r="39" spans="1:43" x14ac:dyDescent="0.3">
      <c r="A39" s="6" t="s">
        <v>96</v>
      </c>
      <c r="B39" s="7">
        <v>0.25</v>
      </c>
      <c r="C39" s="7">
        <v>0</v>
      </c>
      <c r="D39" s="7">
        <v>5</v>
      </c>
      <c r="E39" s="7">
        <v>0.86414914899999995</v>
      </c>
      <c r="F39" s="7">
        <v>0.43106873699999998</v>
      </c>
      <c r="G39" s="7">
        <v>0.69441435600000001</v>
      </c>
      <c r="H39" s="7">
        <v>0.5</v>
      </c>
      <c r="I39" s="7">
        <v>1</v>
      </c>
      <c r="J39" s="7">
        <v>1</v>
      </c>
      <c r="K39" s="7">
        <v>5.5E-2</v>
      </c>
      <c r="L39" s="7">
        <v>1</v>
      </c>
      <c r="M39" s="7">
        <v>2</v>
      </c>
      <c r="N39" s="7">
        <v>0</v>
      </c>
      <c r="O39" s="7">
        <v>0</v>
      </c>
      <c r="P39" s="7">
        <v>0.40799999999999997</v>
      </c>
      <c r="Q39" s="7">
        <v>5.7555699999999996</v>
      </c>
      <c r="R39" s="7">
        <v>1.233795456</v>
      </c>
      <c r="S39" s="7">
        <v>0</v>
      </c>
      <c r="T39" s="7">
        <v>0</v>
      </c>
      <c r="U39" s="7">
        <v>0</v>
      </c>
      <c r="V39" s="7">
        <v>0.2</v>
      </c>
      <c r="W39" s="7">
        <v>20</v>
      </c>
      <c r="X39" s="7">
        <v>0</v>
      </c>
      <c r="Y39" s="7">
        <v>0.40904188899999999</v>
      </c>
      <c r="Z39" s="7">
        <v>0.5</v>
      </c>
      <c r="AA39" s="7">
        <v>8.1251050000000005E-3</v>
      </c>
      <c r="AB39" s="7">
        <v>0</v>
      </c>
      <c r="AC39" s="7">
        <v>1</v>
      </c>
      <c r="AD39" s="7">
        <v>1</v>
      </c>
      <c r="AE39" s="7">
        <v>0</v>
      </c>
      <c r="AF39" s="7">
        <v>1</v>
      </c>
      <c r="AG39" s="7">
        <v>1</v>
      </c>
      <c r="AH39" s="7">
        <v>1</v>
      </c>
      <c r="AI39" s="7">
        <v>1</v>
      </c>
      <c r="AJ39" s="7">
        <v>0</v>
      </c>
      <c r="AK39" s="7">
        <v>0.15</v>
      </c>
      <c r="AL39" s="7">
        <v>0.1</v>
      </c>
      <c r="AM39" s="7">
        <v>0.2</v>
      </c>
      <c r="AN39" s="7">
        <v>93</v>
      </c>
      <c r="AO39" s="7">
        <v>0.66666666699999999</v>
      </c>
      <c r="AP39" s="7">
        <v>0.5</v>
      </c>
      <c r="AQ39" s="7">
        <v>1</v>
      </c>
    </row>
    <row r="40" spans="1:43" x14ac:dyDescent="0.3">
      <c r="A40" s="6" t="s">
        <v>97</v>
      </c>
      <c r="B40" s="7">
        <v>0.25569713999999999</v>
      </c>
      <c r="C40" s="7">
        <v>0</v>
      </c>
      <c r="D40" s="7">
        <v>80</v>
      </c>
      <c r="E40" s="7">
        <v>1</v>
      </c>
      <c r="F40" s="7">
        <v>1</v>
      </c>
      <c r="G40" s="7">
        <v>0.63275133900000002</v>
      </c>
      <c r="H40" s="7">
        <v>1</v>
      </c>
      <c r="I40" s="7">
        <v>0</v>
      </c>
      <c r="J40" s="7">
        <v>1</v>
      </c>
      <c r="K40" s="7">
        <v>2.75E-2</v>
      </c>
      <c r="L40" s="7">
        <v>0</v>
      </c>
      <c r="M40" s="7">
        <v>2</v>
      </c>
      <c r="N40" s="7">
        <v>0</v>
      </c>
      <c r="O40" s="7">
        <v>0</v>
      </c>
      <c r="P40" s="7">
        <v>0.46</v>
      </c>
      <c r="Q40" s="7">
        <v>8.8344640000000005</v>
      </c>
      <c r="R40" s="7">
        <v>1.2495081219999999</v>
      </c>
      <c r="S40" s="7">
        <v>0</v>
      </c>
      <c r="T40" s="7">
        <v>0</v>
      </c>
      <c r="U40" s="7">
        <v>0.28870000000000001</v>
      </c>
      <c r="V40" s="7">
        <v>0.28666714999999998</v>
      </c>
      <c r="W40" s="7">
        <v>7.5</v>
      </c>
      <c r="X40" s="7">
        <v>0</v>
      </c>
      <c r="Y40" s="7">
        <v>0.35887464800000002</v>
      </c>
      <c r="Z40" s="7">
        <v>0.5</v>
      </c>
      <c r="AA40" s="7">
        <v>1.8121466690000001</v>
      </c>
      <c r="AB40" s="7">
        <v>0</v>
      </c>
      <c r="AC40" s="7">
        <v>1</v>
      </c>
      <c r="AD40" s="7">
        <v>1</v>
      </c>
      <c r="AE40" s="7">
        <v>1</v>
      </c>
      <c r="AF40" s="7">
        <v>0</v>
      </c>
      <c r="AG40" s="7">
        <v>0</v>
      </c>
      <c r="AH40" s="7">
        <v>1</v>
      </c>
      <c r="AI40" s="7">
        <v>0</v>
      </c>
      <c r="AJ40" s="7">
        <v>0</v>
      </c>
      <c r="AK40" s="7">
        <v>0.3</v>
      </c>
      <c r="AL40" s="7">
        <v>0.3</v>
      </c>
      <c r="AM40" s="7">
        <v>0.3</v>
      </c>
      <c r="AN40" s="7">
        <v>64</v>
      </c>
      <c r="AO40" s="7">
        <v>0.33333333300000001</v>
      </c>
      <c r="AP40" s="7">
        <v>1</v>
      </c>
      <c r="AQ40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>
      <selection activeCell="B3" sqref="B3"/>
    </sheetView>
  </sheetViews>
  <sheetFormatPr defaultRowHeight="14.4" x14ac:dyDescent="0.3"/>
  <sheetData>
    <row r="1" spans="1:3" ht="18" x14ac:dyDescent="0.35">
      <c r="A1" s="4" t="s">
        <v>98</v>
      </c>
    </row>
    <row r="2" spans="1:3" s="10" customFormat="1" ht="43.2" x14ac:dyDescent="0.3">
      <c r="A2" s="9" t="s">
        <v>17</v>
      </c>
      <c r="B2" s="9" t="s">
        <v>31</v>
      </c>
      <c r="C2" s="9" t="s">
        <v>36</v>
      </c>
    </row>
    <row r="3" spans="1:3" x14ac:dyDescent="0.3">
      <c r="A3" s="6" t="str">
        <f>RawData!A3</f>
        <v>Austria</v>
      </c>
      <c r="B3" s="8">
        <f>ABS(RawData!O3)</f>
        <v>0.27856900000000001</v>
      </c>
      <c r="C3" s="8">
        <f>ABS(RawData!T3)</f>
        <v>0</v>
      </c>
    </row>
    <row r="4" spans="1:3" x14ac:dyDescent="0.3">
      <c r="A4" s="6" t="str">
        <f>RawData!A4</f>
        <v>Australia</v>
      </c>
      <c r="B4" s="8">
        <f>ABS(RawData!O4)</f>
        <v>0</v>
      </c>
      <c r="C4" s="8">
        <f>ABS(RawData!T4)</f>
        <v>0</v>
      </c>
    </row>
    <row r="5" spans="1:3" x14ac:dyDescent="0.3">
      <c r="A5" s="6" t="str">
        <f>RawData!A5</f>
        <v>Belgium</v>
      </c>
      <c r="B5" s="8">
        <f>ABS(RawData!O5)</f>
        <v>1.8283000000000001E-2</v>
      </c>
      <c r="C5" s="8">
        <f>ABS(RawData!T5)</f>
        <v>0</v>
      </c>
    </row>
    <row r="6" spans="1:3" x14ac:dyDescent="0.3">
      <c r="A6" s="6" t="str">
        <f>RawData!A6</f>
        <v>Canada</v>
      </c>
      <c r="B6" s="8">
        <f>ABS(RawData!O6)</f>
        <v>0.444411</v>
      </c>
      <c r="C6" s="8">
        <f>ABS(RawData!T6)</f>
        <v>0</v>
      </c>
    </row>
    <row r="7" spans="1:3" x14ac:dyDescent="0.3">
      <c r="A7" s="6" t="str">
        <f>RawData!A7</f>
        <v>Switzerland</v>
      </c>
      <c r="B7" s="8">
        <f>ABS(RawData!O7)</f>
        <v>1.0776509999999999</v>
      </c>
      <c r="C7" s="8">
        <f>ABS(RawData!T7)</f>
        <v>0</v>
      </c>
    </row>
    <row r="8" spans="1:3" x14ac:dyDescent="0.3">
      <c r="A8" s="6" t="str">
        <f>RawData!A8</f>
        <v>Chile</v>
      </c>
      <c r="B8" s="8">
        <f>ABS(RawData!O8)</f>
        <v>0.10704900000000001</v>
      </c>
      <c r="C8" s="8">
        <f>ABS(RawData!T8)</f>
        <v>0</v>
      </c>
    </row>
    <row r="9" spans="1:3" x14ac:dyDescent="0.3">
      <c r="A9" s="6" t="str">
        <f>RawData!A9</f>
        <v>Colombia</v>
      </c>
      <c r="B9" s="8">
        <f>ABS(RawData!O9)</f>
        <v>8.6332999999999993E-2</v>
      </c>
      <c r="C9" s="8">
        <f>ABS(RawData!T9)</f>
        <v>1.6137159999999999</v>
      </c>
    </row>
    <row r="10" spans="1:3" x14ac:dyDescent="0.3">
      <c r="A10" s="6" t="str">
        <f>RawData!A10</f>
        <v>Costa Rica</v>
      </c>
      <c r="B10" s="8">
        <f>ABS(RawData!O10)</f>
        <v>1.2128380000000001</v>
      </c>
      <c r="C10" s="8">
        <f>ABS(RawData!T10)</f>
        <v>7.9932619999999996</v>
      </c>
    </row>
    <row r="11" spans="1:3" x14ac:dyDescent="0.3">
      <c r="A11" s="6" t="str">
        <f>RawData!A11</f>
        <v>Czech Republic</v>
      </c>
      <c r="B11" s="8">
        <f>ABS(RawData!O11)</f>
        <v>0</v>
      </c>
      <c r="C11" s="8">
        <f>ABS(RawData!T11)</f>
        <v>0</v>
      </c>
    </row>
    <row r="12" spans="1:3" x14ac:dyDescent="0.3">
      <c r="A12" s="6" t="str">
        <f>RawData!A12</f>
        <v>Germany</v>
      </c>
      <c r="B12" s="8">
        <f>ABS(RawData!O12)</f>
        <v>0</v>
      </c>
      <c r="C12" s="8">
        <f>ABS(RawData!T12)</f>
        <v>0</v>
      </c>
    </row>
    <row r="13" spans="1:3" x14ac:dyDescent="0.3">
      <c r="A13" s="6" t="str">
        <f>RawData!A13</f>
        <v>Denmark</v>
      </c>
      <c r="B13" s="8">
        <f>ABS(RawData!O13)</f>
        <v>0.51732800000000001</v>
      </c>
      <c r="C13" s="8">
        <f>ABS(RawData!T13)</f>
        <v>0</v>
      </c>
    </row>
    <row r="14" spans="1:3" x14ac:dyDescent="0.3">
      <c r="A14" s="6" t="str">
        <f>RawData!A14</f>
        <v>Estonia</v>
      </c>
      <c r="B14" s="8">
        <f>ABS(RawData!O14)</f>
        <v>0</v>
      </c>
      <c r="C14" s="8">
        <f>ABS(RawData!T14)</f>
        <v>0</v>
      </c>
    </row>
    <row r="15" spans="1:3" x14ac:dyDescent="0.3">
      <c r="A15" s="6" t="str">
        <f>RawData!A15</f>
        <v>Spain</v>
      </c>
      <c r="B15" s="8">
        <f>ABS(RawData!O15)</f>
        <v>0</v>
      </c>
      <c r="C15" s="8">
        <f>ABS(RawData!T15)</f>
        <v>0</v>
      </c>
    </row>
    <row r="16" spans="1:3" x14ac:dyDescent="0.3">
      <c r="A16" s="6" t="str">
        <f>RawData!A16</f>
        <v>Finland</v>
      </c>
      <c r="B16" s="8">
        <f>ABS(RawData!O16)</f>
        <v>0</v>
      </c>
      <c r="C16" s="8">
        <f>ABS(RawData!T16)</f>
        <v>0</v>
      </c>
    </row>
    <row r="17" spans="1:3" x14ac:dyDescent="0.3">
      <c r="A17" s="6" t="str">
        <f>RawData!A17</f>
        <v>France</v>
      </c>
      <c r="B17" s="8">
        <f>ABS(RawData!O17)</f>
        <v>0.853051</v>
      </c>
      <c r="C17" s="8">
        <f>ABS(RawData!T17)</f>
        <v>0</v>
      </c>
    </row>
    <row r="18" spans="1:3" x14ac:dyDescent="0.3">
      <c r="A18" s="6" t="str">
        <f>RawData!A18</f>
        <v>United Kingdom</v>
      </c>
      <c r="B18" s="8">
        <f>ABS(RawData!O18)</f>
        <v>0</v>
      </c>
      <c r="C18" s="8">
        <f>ABS(RawData!T18)</f>
        <v>0</v>
      </c>
    </row>
    <row r="19" spans="1:3" x14ac:dyDescent="0.3">
      <c r="A19" s="6" t="str">
        <f>RawData!A19</f>
        <v>Greece</v>
      </c>
      <c r="B19" s="8">
        <f>ABS(RawData!O19)</f>
        <v>0</v>
      </c>
      <c r="C19" s="8">
        <f>ABS(RawData!T19)</f>
        <v>0</v>
      </c>
    </row>
    <row r="20" spans="1:3" x14ac:dyDescent="0.3">
      <c r="A20" s="6" t="str">
        <f>RawData!A20</f>
        <v>Hungary</v>
      </c>
      <c r="B20" s="8">
        <f>ABS(RawData!O20)</f>
        <v>0.121512</v>
      </c>
      <c r="C20" s="8">
        <f>ABS(RawData!T20)</f>
        <v>0</v>
      </c>
    </row>
    <row r="21" spans="1:3" x14ac:dyDescent="0.3">
      <c r="A21" s="6" t="str">
        <f>RawData!A21</f>
        <v>Ireland</v>
      </c>
      <c r="B21" s="8">
        <f>ABS(RawData!O21)</f>
        <v>0</v>
      </c>
      <c r="C21" s="8">
        <f>ABS(RawData!T21)</f>
        <v>0</v>
      </c>
    </row>
    <row r="22" spans="1:3" x14ac:dyDescent="0.3">
      <c r="A22" s="6" t="str">
        <f>RawData!A22</f>
        <v>Israel</v>
      </c>
      <c r="B22" s="8">
        <f>ABS(RawData!O22)</f>
        <v>1.060414</v>
      </c>
      <c r="C22" s="8">
        <f>ABS(RawData!T22)</f>
        <v>0</v>
      </c>
    </row>
    <row r="23" spans="1:3" x14ac:dyDescent="0.3">
      <c r="A23" s="6" t="str">
        <f>RawData!A23</f>
        <v>Iceland</v>
      </c>
      <c r="B23" s="8">
        <f>ABS(RawData!O23)</f>
        <v>1.5840959999999999</v>
      </c>
      <c r="C23" s="8">
        <f>ABS(RawData!T23)</f>
        <v>2.990386</v>
      </c>
    </row>
    <row r="24" spans="1:3" x14ac:dyDescent="0.3">
      <c r="A24" s="6" t="str">
        <f>RawData!A24</f>
        <v>Italy</v>
      </c>
      <c r="B24" s="8">
        <f>ABS(RawData!O24)</f>
        <v>1.761649</v>
      </c>
      <c r="C24" s="8">
        <f>ABS(RawData!T24)</f>
        <v>0</v>
      </c>
    </row>
    <row r="25" spans="1:3" x14ac:dyDescent="0.3">
      <c r="A25" s="6" t="str">
        <f>RawData!A25</f>
        <v>Japan</v>
      </c>
      <c r="B25" s="8">
        <f>ABS(RawData!O25)</f>
        <v>6.8990999999999997E-2</v>
      </c>
      <c r="C25" s="8">
        <f>ABS(RawData!T25)</f>
        <v>0</v>
      </c>
    </row>
    <row r="26" spans="1:3" x14ac:dyDescent="0.3">
      <c r="A26" s="6" t="str">
        <f>RawData!A26</f>
        <v>Korea</v>
      </c>
      <c r="B26" s="8">
        <f>ABS(RawData!O26)</f>
        <v>0</v>
      </c>
      <c r="C26" s="8">
        <f>ABS(RawData!T26)</f>
        <v>0</v>
      </c>
    </row>
    <row r="27" spans="1:3" x14ac:dyDescent="0.3">
      <c r="A27" s="6" t="str">
        <f>RawData!A27</f>
        <v>Lithuania</v>
      </c>
      <c r="B27" s="8">
        <f>ABS(RawData!O27)</f>
        <v>0</v>
      </c>
      <c r="C27" s="8">
        <f>ABS(RawData!T27)</f>
        <v>0</v>
      </c>
    </row>
    <row r="28" spans="1:3" x14ac:dyDescent="0.3">
      <c r="A28" s="6" t="str">
        <f>RawData!A28</f>
        <v>Luxembourg</v>
      </c>
      <c r="B28" s="8">
        <f>ABS(RawData!O28)</f>
        <v>3.4009999999999999E-2</v>
      </c>
      <c r="C28" s="8">
        <f>ABS(RawData!T28)</f>
        <v>0</v>
      </c>
    </row>
    <row r="29" spans="1:3" x14ac:dyDescent="0.3">
      <c r="A29" s="6" t="str">
        <f>RawData!A29</f>
        <v>Latvia</v>
      </c>
      <c r="B29" s="8">
        <f>ABS(RawData!O29)</f>
        <v>0</v>
      </c>
      <c r="C29" s="8">
        <f>ABS(RawData!T29)</f>
        <v>0</v>
      </c>
    </row>
    <row r="30" spans="1:3" x14ac:dyDescent="0.3">
      <c r="A30" s="6" t="str">
        <f>RawData!A30</f>
        <v>Mexico</v>
      </c>
      <c r="B30" s="8">
        <f>ABS(RawData!O30)</f>
        <v>0.25425900000000001</v>
      </c>
      <c r="C30" s="8">
        <f>ABS(RawData!T30)</f>
        <v>2.3970739999999999</v>
      </c>
    </row>
    <row r="31" spans="1:3" x14ac:dyDescent="0.3">
      <c r="A31" s="6" t="str">
        <f>RawData!A31</f>
        <v>Netherlands</v>
      </c>
      <c r="B31" s="8">
        <f>ABS(RawData!O31)</f>
        <v>7.306E-3</v>
      </c>
      <c r="C31" s="8">
        <f>ABS(RawData!T31)</f>
        <v>0</v>
      </c>
    </row>
    <row r="32" spans="1:3" x14ac:dyDescent="0.3">
      <c r="A32" s="6" t="str">
        <f>RawData!A32</f>
        <v>Norway</v>
      </c>
      <c r="B32" s="8">
        <f>ABS(RawData!O32)</f>
        <v>0</v>
      </c>
      <c r="C32" s="8">
        <f>ABS(RawData!T32)</f>
        <v>0</v>
      </c>
    </row>
    <row r="33" spans="1:3" x14ac:dyDescent="0.3">
      <c r="A33" s="6" t="str">
        <f>RawData!A33</f>
        <v>New Zealand</v>
      </c>
      <c r="B33" s="8">
        <f>ABS(RawData!O33)</f>
        <v>1.4403550000000001</v>
      </c>
      <c r="C33" s="8">
        <f>ABS(RawData!T33)</f>
        <v>0</v>
      </c>
    </row>
    <row r="34" spans="1:3" x14ac:dyDescent="0.3">
      <c r="A34" s="6" t="str">
        <f>RawData!A34</f>
        <v>Poland</v>
      </c>
      <c r="B34" s="8">
        <f>ABS(RawData!O34)</f>
        <v>0</v>
      </c>
      <c r="C34" s="8">
        <f>ABS(RawData!T34)</f>
        <v>8.265504</v>
      </c>
    </row>
    <row r="35" spans="1:3" x14ac:dyDescent="0.3">
      <c r="A35" s="6" t="str">
        <f>RawData!A35</f>
        <v>Portugal</v>
      </c>
      <c r="B35" s="8">
        <f>ABS(RawData!O35)</f>
        <v>0.16437599999999999</v>
      </c>
      <c r="C35" s="8">
        <f>ABS(RawData!T35)</f>
        <v>0</v>
      </c>
    </row>
    <row r="36" spans="1:3" x14ac:dyDescent="0.3">
      <c r="A36" s="6" t="str">
        <f>RawData!A36</f>
        <v>Sweden</v>
      </c>
      <c r="B36" s="8">
        <f>ABS(RawData!O36)</f>
        <v>0</v>
      </c>
      <c r="C36" s="8">
        <f>ABS(RawData!T36)</f>
        <v>3.9785000000000001E-2</v>
      </c>
    </row>
    <row r="37" spans="1:3" x14ac:dyDescent="0.3">
      <c r="A37" s="6" t="str">
        <f>RawData!A37</f>
        <v>Slovenia</v>
      </c>
      <c r="B37" s="8">
        <f>ABS(RawData!O37)</f>
        <v>4.9579999999999997E-3</v>
      </c>
      <c r="C37" s="8">
        <f>ABS(RawData!T37)</f>
        <v>0</v>
      </c>
    </row>
    <row r="38" spans="1:3" x14ac:dyDescent="0.3">
      <c r="A38" s="6" t="str">
        <f>RawData!A38</f>
        <v>Slovak Republic</v>
      </c>
      <c r="B38" s="8">
        <f>ABS(RawData!O38)</f>
        <v>0.35059400000000002</v>
      </c>
      <c r="C38" s="8">
        <f>ABS(RawData!T38)</f>
        <v>0</v>
      </c>
    </row>
    <row r="39" spans="1:3" x14ac:dyDescent="0.3">
      <c r="A39" s="6" t="str">
        <f>RawData!A39</f>
        <v>Turkey</v>
      </c>
      <c r="B39" s="8">
        <f>ABS(RawData!O39)</f>
        <v>0</v>
      </c>
      <c r="C39" s="8">
        <f>ABS(RawData!T39)</f>
        <v>0</v>
      </c>
    </row>
    <row r="40" spans="1:3" x14ac:dyDescent="0.3">
      <c r="A40" s="6" t="str">
        <f>RawData!A40</f>
        <v>United States</v>
      </c>
      <c r="B40" s="8">
        <f>ABS(RawData!O40)</f>
        <v>0</v>
      </c>
      <c r="C40" s="8">
        <f>ABS(RawData!T40)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1"/>
  <sheetViews>
    <sheetView workbookViewId="0">
      <selection activeCell="B4" sqref="B4"/>
    </sheetView>
  </sheetViews>
  <sheetFormatPr defaultRowHeight="14.4" x14ac:dyDescent="0.3"/>
  <sheetData>
    <row r="1" spans="1:43" ht="18" x14ac:dyDescent="0.35">
      <c r="A1" s="4" t="s">
        <v>99</v>
      </c>
    </row>
    <row r="2" spans="1:43" x14ac:dyDescent="0.3">
      <c r="A2" t="s">
        <v>100</v>
      </c>
    </row>
    <row r="3" spans="1:43" s="13" customFormat="1" ht="57.6" x14ac:dyDescent="0.3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  <c r="M3" s="12" t="s">
        <v>29</v>
      </c>
      <c r="N3" s="12" t="s">
        <v>30</v>
      </c>
      <c r="O3" s="12" t="s">
        <v>31</v>
      </c>
      <c r="P3" s="12" t="s">
        <v>32</v>
      </c>
      <c r="Q3" s="12" t="s">
        <v>33</v>
      </c>
      <c r="R3" s="12" t="s">
        <v>34</v>
      </c>
      <c r="S3" s="12" t="s">
        <v>35</v>
      </c>
      <c r="T3" s="12" t="s">
        <v>36</v>
      </c>
      <c r="U3" s="12" t="s">
        <v>37</v>
      </c>
      <c r="V3" s="12" t="s">
        <v>38</v>
      </c>
      <c r="W3" s="12" t="s">
        <v>39</v>
      </c>
      <c r="X3" s="12" t="s">
        <v>40</v>
      </c>
      <c r="Y3" s="12" t="s">
        <v>41</v>
      </c>
      <c r="Z3" s="12" t="s">
        <v>42</v>
      </c>
      <c r="AA3" s="12" t="s">
        <v>43</v>
      </c>
      <c r="AB3" s="12" t="s">
        <v>44</v>
      </c>
      <c r="AC3" s="12" t="s">
        <v>45</v>
      </c>
      <c r="AD3" s="12" t="s">
        <v>46</v>
      </c>
      <c r="AE3" s="12" t="s">
        <v>47</v>
      </c>
      <c r="AF3" s="12" t="s">
        <v>48</v>
      </c>
      <c r="AG3" s="12" t="s">
        <v>49</v>
      </c>
      <c r="AH3" s="12" t="s">
        <v>50</v>
      </c>
      <c r="AI3" s="12" t="s">
        <v>51</v>
      </c>
      <c r="AJ3" s="12" t="s">
        <v>52</v>
      </c>
      <c r="AK3" s="12" t="s">
        <v>53</v>
      </c>
      <c r="AL3" s="12" t="s">
        <v>54</v>
      </c>
      <c r="AM3" s="12" t="s">
        <v>55</v>
      </c>
      <c r="AN3" s="12" t="s">
        <v>56</v>
      </c>
      <c r="AO3" s="12" t="s">
        <v>57</v>
      </c>
      <c r="AP3" s="12" t="s">
        <v>58</v>
      </c>
      <c r="AQ3" s="12" t="s">
        <v>59</v>
      </c>
    </row>
    <row r="4" spans="1:43" x14ac:dyDescent="0.3">
      <c r="A4" s="11" t="str">
        <f>RawData!A3</f>
        <v>Austria</v>
      </c>
      <c r="B4" s="8">
        <f>-1*((RawData!B3-AVERAGE(RawData!$B$3:$B$40))/STDEV(RawData!$B$3:$B$40))</f>
        <v>0.21976871883910504</v>
      </c>
      <c r="C4" s="8">
        <f>((RawData!C3-AVERAGE(RawData!$C$3:$C$40))/STDEV(RawData!$C$3:$C$40))</f>
        <v>-0.24662997877514239</v>
      </c>
      <c r="D4" s="8">
        <f>((RawData!D3-AVERAGE(RawData!$D$3:$D$40))/STDEV(RawData!$D$3:$D$40))</f>
        <v>0.71668062722479609</v>
      </c>
      <c r="E4" s="8">
        <f>((RawData!E3-AVERAGE(RawData!$E$3:$E$40))/STDEV(RawData!$E$3:$E$40))</f>
        <v>0.33941187854980681</v>
      </c>
      <c r="F4" s="8">
        <f>((RawData!F3-AVERAGE(RawData!$F$3:$F$40))/STDEV(RawData!$F$3:$F$40))</f>
        <v>-0.82888335727583051</v>
      </c>
      <c r="G4" s="8">
        <f>((RawData!G3-AVERAGE(RawData!$G$3:$G$40))/STDEV(RawData!$G$3:$G$40))</f>
        <v>-0.16428036293842818</v>
      </c>
      <c r="H4" s="8">
        <f>((RawData!H3-AVERAGE(RawData!$H$3:$H$40))/STDEV(RawData!$H$3:$H$40))</f>
        <v>1.1791341714277106</v>
      </c>
      <c r="I4" s="8">
        <f>((RawData!I3-AVERAGE(RawData!$I$3:$I$40))/STDEV(RawData!$I$3:$I$40))</f>
        <v>-0.38409362229254129</v>
      </c>
      <c r="J4" s="8">
        <f>-1*((RawData!J3-AVERAGE(RawData!$J$3:$J$40))/STDEV(RawData!$J$3:$J$40))</f>
        <v>0.9361174015441035</v>
      </c>
      <c r="K4" s="8">
        <f>-1*((RawData!K3-AVERAGE(RawData!$K$3:$K$40))/STDEV(RawData!$K$3:$K$40))</f>
        <v>-8.8694085484320423E-2</v>
      </c>
      <c r="L4" s="8">
        <f>-1*((RawData!L3-AVERAGE(RawData!$L$3:$L$40))/STDEV(RawData!$L$3:$L$40))</f>
        <v>-1.4524631227012332</v>
      </c>
      <c r="M4" s="8">
        <f>-1*((RawData!M3-AVERAGE(RawData!$M$3:$M$40))/STDEV(RawData!$M$3:$M$40))</f>
        <v>-0.80926386600707745</v>
      </c>
      <c r="N4" s="8">
        <f>-1*((RawData!N3-AVERAGE(RawData!$N$3:$N$40))/STDEV(RawData!$N$3:$N$40))</f>
        <v>0.33845396081495521</v>
      </c>
      <c r="O4" s="8">
        <f>-1*((AbsValues!B3-AVERAGE(AbsValues!$B$3:$B$40))/STDEV(AbsValues!$B$3:$B$40))</f>
        <v>4.4741030823831129E-2</v>
      </c>
      <c r="P4" s="8">
        <f>-1*((RawData!P3-AVERAGE(RawData!$P$3:$P$40))/STDEV(RawData!$P$3:$P$40))</f>
        <v>-0.95276283772565462</v>
      </c>
      <c r="Q4" s="8">
        <f>-1*((RawData!Q3-AVERAGE(RawData!$Q$3:$Q$40))/STDEV(RawData!$Q$3:$Q$40))</f>
        <v>-1.1429711859402107</v>
      </c>
      <c r="R4" s="8">
        <f>-1*((RawData!R3-AVERAGE(RawData!$R$3:$R$40))/STDEV(RawData!$R$3:$R$40))</f>
        <v>0.40224408880991963</v>
      </c>
      <c r="S4" s="8">
        <f>-1*((RawData!S3-AVERAGE(RawData!$S$3:$S$40))/STDEV(RawData!$S$3:$S$40))</f>
        <v>0.33845396081495521</v>
      </c>
      <c r="T4" s="8">
        <f>-1*((AbsValues!C3-AVERAGE(AbsValues!$C$3:$C$40))/STDEV(AbsValues!$C$3:$C$40))</f>
        <v>0.32073762283238327</v>
      </c>
      <c r="U4" s="8">
        <f>-1*((RawData!U3-AVERAGE(RawData!$U$3:$U$40))/STDEV(RawData!$U$3:$U$40))</f>
        <v>-0.56879446053036908</v>
      </c>
      <c r="V4" s="8">
        <f>-1*((RawData!V3-AVERAGE(RawData!$V$3:$V$40))/STDEV(RawData!$V$3:$V$40))</f>
        <v>-0.24291244526413708</v>
      </c>
      <c r="W4" s="8">
        <f>-1*((RawData!W3-AVERAGE(RawData!$W$3:$W$40))/STDEV(RawData!$W$3:$W$40))</f>
        <v>-0.12455651885545976</v>
      </c>
      <c r="X4" s="8">
        <f>-1*((RawData!X3-AVERAGE(RawData!$X$3:$X$40))/STDEV(RawData!$X$3:$X$40))</f>
        <v>-0.39047243392685382</v>
      </c>
      <c r="Y4" s="8">
        <f>((RawData!Y3-AVERAGE(RawData!$Y$3:$Y$40))/STDEV(RawData!$Y$3:$Y$40))</f>
        <v>0.52626463056300044</v>
      </c>
      <c r="Z4" s="8">
        <f>((RawData!Z3-AVERAGE(RawData!$Z$3:$Z$40))/STDEV(RawData!$Z$3:$Z$40))</f>
        <v>-2.1543216523285427</v>
      </c>
      <c r="AA4" s="8">
        <f>-1*((RawData!AA3-AVERAGE(RawData!$AA$3:$AA$40))/STDEV(RawData!$AA$3:$AA$40))</f>
        <v>0.52679340749774173</v>
      </c>
      <c r="AB4" s="8">
        <f>-1*((RawData!AB3-AVERAGE(RawData!$AB$3:$AB$40))/STDEV(RawData!$AB$3:$AB$40))</f>
        <v>0.4427560587692117</v>
      </c>
      <c r="AC4" s="8">
        <f>-1*((RawData!AC3-AVERAGE(RawData!$AC$3:$AC$40))/STDEV(RawData!$AC$3:$AC$40))</f>
        <v>1.4524631227012332</v>
      </c>
      <c r="AD4" s="8">
        <f>-1*((RawData!AD3-AVERAGE(RawData!$AD$3:$AD$40))/STDEV(RawData!$AD$3:$AD$40))</f>
        <v>-0.42727718108235579</v>
      </c>
      <c r="AE4" s="8">
        <f>-1*((RawData!AE3-AVERAGE(RawData!$AE$3:$AE$40))/STDEV(RawData!$AE$3:$AE$40))</f>
        <v>-0.93611740154410361</v>
      </c>
      <c r="AF4" s="8">
        <f>-1*((RawData!AF3-AVERAGE(RawData!$AF$3:$AF$40))/STDEV(RawData!$AF$3:$AF$40))</f>
        <v>0.58969853391564031</v>
      </c>
      <c r="AG4" s="8">
        <f>-1*((RawData!AG3-AVERAGE(RawData!$AG$3:$AG$40))/STDEV(RawData!$AG$3:$AG$40))</f>
        <v>0.79687605162132791</v>
      </c>
      <c r="AH4" s="8">
        <f>((RawData!AH3-AVERAGE(RawData!$AH$3:$AH$40))/STDEV(RawData!$AH$3:$AH$40))</f>
        <v>0.32819244752489102</v>
      </c>
      <c r="AI4" s="8">
        <f>((RawData!AI3-AVERAGE(RawData!$AI$3:$AI$40))/STDEV(RawData!$AI$3:$AI$40))</f>
        <v>0.55436815918081928</v>
      </c>
      <c r="AJ4" s="8">
        <f>-1*((RawData!AJ3-AVERAGE(RawData!$AJ$3:$AJ$40))/STDEV(RawData!$AJ$3:$AJ$40))</f>
        <v>0.98675438206593025</v>
      </c>
      <c r="AK4" s="8">
        <f>-1*((RawData!AK3-AVERAGE(RawData!$AK$3:$AK$40))/STDEV(RawData!$AK$3:$AK$40))</f>
        <v>-0.70469318274385628</v>
      </c>
      <c r="AL4" s="8">
        <f>-1*((RawData!AL3-AVERAGE(RawData!$AL$3:$AL$40))/STDEV(RawData!$AL$3:$AL$40))</f>
        <v>1.2947279432416416</v>
      </c>
      <c r="AM4" s="8">
        <f>-1*((RawData!AM3-AVERAGE(RawData!$AM$3:$AM$40))/STDEV(RawData!$AM$3:$AM$40))</f>
        <v>-0.24215867793331902</v>
      </c>
      <c r="AN4" s="8">
        <f>((RawData!AN3-AVERAGE(RawData!$AN$3:$AN$40))/STDEV(RawData!$AN$3:$AN$40))</f>
        <v>0.49219182019670726</v>
      </c>
      <c r="AO4" s="8">
        <f>-1*((RawData!AO3-AVERAGE(RawData!$AO$3:$AO$40))/STDEV(RawData!$AO$3:$AO$40))</f>
        <v>-1.3355779146409208</v>
      </c>
      <c r="AP4" s="8">
        <f>-1*((RawData!AP3-AVERAGE(RawData!$AP$3:$AP$40))/STDEV(RawData!$AP$3:$AP$40))</f>
        <v>-0.48376742656450294</v>
      </c>
      <c r="AQ4" s="8">
        <f>-1*((RawData!AQ3-AVERAGE(RawData!$AQ$3:$AQ$40))/STDEV(RawData!$AQ$3:$AQ$40))</f>
        <v>-0.6827406491476623</v>
      </c>
    </row>
    <row r="5" spans="1:43" x14ac:dyDescent="0.3">
      <c r="A5" s="6" t="str">
        <f>RawData!A4</f>
        <v>Australia</v>
      </c>
      <c r="B5" s="8">
        <f>-1*((RawData!B4-AVERAGE(RawData!$B$3:$B$40))/STDEV(RawData!$B$3:$B$40))</f>
        <v>-1.0631397029979017</v>
      </c>
      <c r="C5" s="8">
        <f>((RawData!C4-AVERAGE(RawData!$C$3:$C$40))/STDEV(RawData!$C$3:$C$40))</f>
        <v>-0.24662997877514239</v>
      </c>
      <c r="D5" s="8">
        <f>((RawData!D4-AVERAGE(RawData!$D$3:$D$40))/STDEV(RawData!$D$3:$D$40))</f>
        <v>1.3509999041275362</v>
      </c>
      <c r="E5" s="8">
        <f>((RawData!E4-AVERAGE(RawData!$E$3:$E$40))/STDEV(RawData!$E$3:$E$40))</f>
        <v>-6.5238195367696858E-2</v>
      </c>
      <c r="F5" s="8">
        <f>((RawData!F4-AVERAGE(RawData!$F$3:$F$40))/STDEV(RawData!$F$3:$F$40))</f>
        <v>-0.10047077899988448</v>
      </c>
      <c r="G5" s="8">
        <f>((RawData!G4-AVERAGE(RawData!$G$3:$G$40))/STDEV(RawData!$G$3:$G$40))</f>
        <v>-1.2377336162418462</v>
      </c>
      <c r="H5" s="8">
        <f>((RawData!H4-AVERAGE(RawData!$H$3:$H$40))/STDEV(RawData!$H$3:$H$40))</f>
        <v>-0.26625610322561188</v>
      </c>
      <c r="I5" s="8">
        <f>((RawData!I4-AVERAGE(RawData!$I$3:$I$40))/STDEV(RawData!$I$3:$I$40))</f>
        <v>-0.38409362229254129</v>
      </c>
      <c r="J5" s="8">
        <f>-1*((RawData!J4-AVERAGE(RawData!$J$3:$J$40))/STDEV(RawData!$J$3:$J$40))</f>
        <v>0.9361174015441035</v>
      </c>
      <c r="K5" s="8">
        <f>-1*((RawData!K4-AVERAGE(RawData!$K$3:$K$40))/STDEV(RawData!$K$3:$K$40))</f>
        <v>6.4504789443141614E-2</v>
      </c>
      <c r="L5" s="8">
        <f>-1*((RawData!L4-AVERAGE(RawData!$L$3:$L$40))/STDEV(RawData!$L$3:$L$40))</f>
        <v>0.6703675950928768</v>
      </c>
      <c r="M5" s="8">
        <f>-1*((RawData!M4-AVERAGE(RawData!$M$3:$M$40))/STDEV(RawData!$M$3:$M$40))</f>
        <v>-0.80926386600707745</v>
      </c>
      <c r="N5" s="8">
        <f>-1*((RawData!N4-AVERAGE(RawData!$N$3:$N$40))/STDEV(RawData!$N$3:$N$40))</f>
        <v>0.33845396081495521</v>
      </c>
      <c r="O5" s="8">
        <f>-1*((AbsValues!B4-AVERAGE(AbsValues!$B$3:$B$40))/STDEV(AbsValues!$B$3:$B$40))</f>
        <v>0.59391264411659439</v>
      </c>
      <c r="P5" s="8">
        <f>-1*((RawData!P4-AVERAGE(RawData!$P$3:$P$40))/STDEV(RawData!$P$3:$P$40))</f>
        <v>-9.1937059593607998E-2</v>
      </c>
      <c r="Q5" s="8">
        <f>-1*((RawData!Q4-AVERAGE(RawData!$Q$3:$Q$40))/STDEV(RawData!$Q$3:$Q$40))</f>
        <v>0.57078064178781651</v>
      </c>
      <c r="R5" s="8">
        <f>-1*((RawData!R4-AVERAGE(RawData!$R$3:$R$40))/STDEV(RawData!$R$3:$R$40))</f>
        <v>-0.38675427729242989</v>
      </c>
      <c r="S5" s="8">
        <f>-1*((RawData!S4-AVERAGE(RawData!$S$3:$S$40))/STDEV(RawData!$S$3:$S$40))</f>
        <v>0.33845396081495521</v>
      </c>
      <c r="T5" s="8">
        <f>-1*((AbsValues!C4-AVERAGE(AbsValues!$C$3:$C$40))/STDEV(AbsValues!$C$3:$C$40))</f>
        <v>0.32073762283238327</v>
      </c>
      <c r="U5" s="8">
        <f>-1*((RawData!U4-AVERAGE(RawData!$U$3:$U$40))/STDEV(RawData!$U$3:$U$40))</f>
        <v>-0.26627597492689753</v>
      </c>
      <c r="V5" s="8">
        <f>-1*((RawData!V4-AVERAGE(RawData!$V$3:$V$40))/STDEV(RawData!$V$3:$V$40))</f>
        <v>3.8335187782950642E-2</v>
      </c>
      <c r="W5" s="8">
        <f>-1*((RawData!W4-AVERAGE(RawData!$W$3:$W$40))/STDEV(RawData!$W$3:$W$40))</f>
        <v>1.7994872683426952</v>
      </c>
      <c r="X5" s="8">
        <f>-1*((RawData!X4-AVERAGE(RawData!$X$3:$X$40))/STDEV(RawData!$X$3:$X$40))</f>
        <v>3.4288031327079027E-2</v>
      </c>
      <c r="Y5" s="8">
        <f>((RawData!Y4-AVERAGE(RawData!$Y$3:$Y$40))/STDEV(RawData!$Y$3:$Y$40))</f>
        <v>-0.76938300295562267</v>
      </c>
      <c r="Z5" s="8">
        <f>((RawData!Z4-AVERAGE(RawData!$Z$3:$Z$40))/STDEV(RawData!$Z$3:$Z$40))</f>
        <v>2.5236339355848645</v>
      </c>
      <c r="AA5" s="8">
        <f>-1*((RawData!AA4-AVERAGE(RawData!$AA$3:$AA$40))/STDEV(RawData!$AA$3:$AA$40))</f>
        <v>0.65847876594123422</v>
      </c>
      <c r="AB5" s="8">
        <f>-1*((RawData!AB4-AVERAGE(RawData!$AB$3:$AB$40))/STDEV(RawData!$AB$3:$AB$40))</f>
        <v>0.4427560587692117</v>
      </c>
      <c r="AC5" s="8">
        <f>-1*((RawData!AC4-AVERAGE(RawData!$AC$3:$AC$40))/STDEV(RawData!$AC$3:$AC$40))</f>
        <v>1.4524631227012332</v>
      </c>
      <c r="AD5" s="8">
        <f>-1*((RawData!AD4-AVERAGE(RawData!$AD$3:$AD$40))/STDEV(RawData!$AD$3:$AD$40))</f>
        <v>-0.42727718108235579</v>
      </c>
      <c r="AE5" s="8">
        <f>-1*((RawData!AE4-AVERAGE(RawData!$AE$3:$AE$40))/STDEV(RawData!$AE$3:$AE$40))</f>
        <v>-0.93611740154410361</v>
      </c>
      <c r="AF5" s="8">
        <f>-1*((RawData!AF4-AVERAGE(RawData!$AF$3:$AF$40))/STDEV(RawData!$AF$3:$AF$40))</f>
        <v>0.58969853391564031</v>
      </c>
      <c r="AG5" s="8">
        <f>-1*((RawData!AG4-AVERAGE(RawData!$AG$3:$AG$40))/STDEV(RawData!$AG$3:$AG$40))</f>
        <v>0.79687605162132791</v>
      </c>
      <c r="AH5" s="8">
        <f>((RawData!AH4-AVERAGE(RawData!$AH$3:$AH$40))/STDEV(RawData!$AH$3:$AH$40))</f>
        <v>0.32819244752489102</v>
      </c>
      <c r="AI5" s="8">
        <f>((RawData!AI4-AVERAGE(RawData!$AI$3:$AI$40))/STDEV(RawData!$AI$3:$AI$40))</f>
        <v>0.55436815918081928</v>
      </c>
      <c r="AJ5" s="8">
        <f>-1*((RawData!AJ4-AVERAGE(RawData!$AJ$3:$AJ$40))/STDEV(RawData!$AJ$3:$AJ$40))</f>
        <v>0.98675438206593025</v>
      </c>
      <c r="AK5" s="8">
        <f>-1*((RawData!AK4-AVERAGE(RawData!$AK$3:$AK$40))/STDEV(RawData!$AK$3:$AK$40))</f>
        <v>-0.95570404628472072</v>
      </c>
      <c r="AL5" s="8">
        <f>-1*((RawData!AL4-AVERAGE(RawData!$AL$3:$AL$40))/STDEV(RawData!$AL$3:$AL$40))</f>
        <v>0.42149550841180994</v>
      </c>
      <c r="AM5" s="8">
        <f>-1*((RawData!AM4-AVERAGE(RawData!$AM$3:$AM$40))/STDEV(RawData!$AM$3:$AM$40))</f>
        <v>-1.2505450415809141</v>
      </c>
      <c r="AN5" s="8">
        <f>((RawData!AN4-AVERAGE(RawData!$AN$3:$AN$40))/STDEV(RawData!$AN$3:$AN$40))</f>
        <v>-1.0476372076476095</v>
      </c>
      <c r="AO5" s="8">
        <f>-1*((RawData!AO4-AVERAGE(RawData!$AO$3:$AO$40))/STDEV(RawData!$AO$3:$AO$40))</f>
        <v>0.61642057643857884</v>
      </c>
      <c r="AP5" s="8">
        <f>-1*((RawData!AP4-AVERAGE(RawData!$AP$3:$AP$40))/STDEV(RawData!$AP$3:$AP$40))</f>
        <v>-0.48376742656450294</v>
      </c>
      <c r="AQ5" s="8">
        <f>-1*((RawData!AQ4-AVERAGE(RawData!$AQ$3:$AQ$40))/STDEV(RawData!$AQ$3:$AQ$40))</f>
        <v>-0.6827406491476623</v>
      </c>
    </row>
    <row r="6" spans="1:43" x14ac:dyDescent="0.3">
      <c r="A6" s="6" t="str">
        <f>RawData!A5</f>
        <v>Belgium</v>
      </c>
      <c r="B6" s="8">
        <f>-1*((RawData!B5-AVERAGE(RawData!$B$3:$B$40))/STDEV(RawData!$B$3:$B$40))</f>
        <v>-0.14677654454289685</v>
      </c>
      <c r="C6" s="8">
        <f>((RawData!C5-AVERAGE(RawData!$C$3:$C$40))/STDEV(RawData!$C$3:$C$40))</f>
        <v>-0.24662997877514239</v>
      </c>
      <c r="D6" s="8">
        <f>((RawData!D5-AVERAGE(RawData!$D$3:$D$40))/STDEV(RawData!$D$3:$D$40))</f>
        <v>0.58981677184424797</v>
      </c>
      <c r="E6" s="8">
        <f>((RawData!E5-AVERAGE(RawData!$E$3:$E$40))/STDEV(RawData!$E$3:$E$40))</f>
        <v>0.16096527808668717</v>
      </c>
      <c r="F6" s="8">
        <f>((RawData!F5-AVERAGE(RawData!$F$3:$F$40))/STDEV(RawData!$F$3:$F$40))</f>
        <v>0.25449494941939654</v>
      </c>
      <c r="G6" s="8">
        <f>((RawData!G5-AVERAGE(RawData!$G$3:$G$40))/STDEV(RawData!$G$3:$G$40))</f>
        <v>0.5816106691306967</v>
      </c>
      <c r="H6" s="8">
        <f>((RawData!H5-AVERAGE(RawData!$H$3:$H$40))/STDEV(RawData!$H$3:$H$40))</f>
        <v>1.1791341714277106</v>
      </c>
      <c r="I6" s="8">
        <f>((RawData!I5-AVERAGE(RawData!$I$3:$I$40))/STDEV(RawData!$I$3:$I$40))</f>
        <v>-0.38409362229254129</v>
      </c>
      <c r="J6" s="8">
        <f>-1*((RawData!J5-AVERAGE(RawData!$J$3:$J$40))/STDEV(RawData!$J$3:$J$40))</f>
        <v>-1.0401304461601153</v>
      </c>
      <c r="K6" s="8">
        <f>-1*((RawData!K5-AVERAGE(RawData!$K$3:$K$40))/STDEV(RawData!$K$3:$K$40))</f>
        <v>4.2619235882075612E-2</v>
      </c>
      <c r="L6" s="8">
        <f>-1*((RawData!L5-AVERAGE(RawData!$L$3:$L$40))/STDEV(RawData!$L$3:$L$40))</f>
        <v>0.6703675950928768</v>
      </c>
      <c r="M6" s="8">
        <f>-1*((RawData!M5-AVERAGE(RawData!$M$3:$M$40))/STDEV(RawData!$M$3:$M$40))</f>
        <v>-9.4100449535706648E-2</v>
      </c>
      <c r="N6" s="8">
        <f>-1*((RawData!N5-AVERAGE(RawData!$N$3:$N$40))/STDEV(RawData!$N$3:$N$40))</f>
        <v>0.33845396081495521</v>
      </c>
      <c r="O6" s="8">
        <f>-1*((AbsValues!B5-AVERAGE(AbsValues!$B$3:$B$40))/STDEV(AbsValues!$B$3:$B$40))</f>
        <v>0.55786949284767506</v>
      </c>
      <c r="P6" s="8">
        <f>-1*((RawData!P5-AVERAGE(RawData!$P$3:$P$40))/STDEV(RawData!$P$3:$P$40))</f>
        <v>-1.5093020905488059</v>
      </c>
      <c r="Q6" s="8">
        <f>-1*((RawData!Q5-AVERAGE(RawData!$Q$3:$Q$40))/STDEV(RawData!$Q$3:$Q$40))</f>
        <v>0.64670078157509259</v>
      </c>
      <c r="R6" s="8">
        <f>-1*((RawData!R5-AVERAGE(RawData!$R$3:$R$40))/STDEV(RawData!$R$3:$R$40))</f>
        <v>-0.18522950071416924</v>
      </c>
      <c r="S6" s="8">
        <f>-1*((RawData!S5-AVERAGE(RawData!$S$3:$S$40))/STDEV(RawData!$S$3:$S$40))</f>
        <v>0.33845396081495521</v>
      </c>
      <c r="T6" s="8">
        <f>-1*((AbsValues!C5-AVERAGE(AbsValues!$C$3:$C$40))/STDEV(AbsValues!$C$3:$C$40))</f>
        <v>0.32073762283238327</v>
      </c>
      <c r="U6" s="8">
        <f>-1*((RawData!U5-AVERAGE(RawData!$U$3:$U$40))/STDEV(RawData!$U$3:$U$40))</f>
        <v>1.5110201279934961</v>
      </c>
      <c r="V6" s="8">
        <f>-1*((RawData!V5-AVERAGE(RawData!$V$3:$V$40))/STDEV(RawData!$V$3:$V$40))</f>
        <v>-0.46166058485648137</v>
      </c>
      <c r="W6" s="8">
        <f>-1*((RawData!W5-AVERAGE(RawData!$W$3:$W$40))/STDEV(RawData!$W$3:$W$40))</f>
        <v>-0.31696089757527524</v>
      </c>
      <c r="X6" s="8">
        <f>-1*((RawData!X5-AVERAGE(RawData!$X$3:$X$40))/STDEV(RawData!$X$3:$X$40))</f>
        <v>0.43445196868640212</v>
      </c>
      <c r="Y6" s="8">
        <f>((RawData!Y5-AVERAGE(RawData!$Y$3:$Y$40))/STDEV(RawData!$Y$3:$Y$40))</f>
        <v>-0.98093023861332618</v>
      </c>
      <c r="Z6" s="8">
        <f>((RawData!Z5-AVERAGE(RawData!$Z$3:$Z$40))/STDEV(RawData!$Z$3:$Z$40))</f>
        <v>0.18465614162816085</v>
      </c>
      <c r="AA6" s="8">
        <f>-1*((RawData!AA5-AVERAGE(RawData!$AA$3:$AA$40))/STDEV(RawData!$AA$3:$AA$40))</f>
        <v>-0.63840444653250361</v>
      </c>
      <c r="AB6" s="8">
        <f>-1*((RawData!AB5-AVERAGE(RawData!$AB$3:$AB$40))/STDEV(RawData!$AB$3:$AB$40))</f>
        <v>-1.0867648715244287</v>
      </c>
      <c r="AC6" s="8">
        <f>-1*((RawData!AC5-AVERAGE(RawData!$AC$3:$AC$40))/STDEV(RawData!$AC$3:$AC$40))</f>
        <v>-0.6703675950928768</v>
      </c>
      <c r="AD6" s="8">
        <f>-1*((RawData!AD5-AVERAGE(RawData!$AD$3:$AD$40))/STDEV(RawData!$AD$3:$AD$40))</f>
        <v>-0.42727718108235579</v>
      </c>
      <c r="AE6" s="8">
        <f>-1*((RawData!AE5-AVERAGE(RawData!$AE$3:$AE$40))/STDEV(RawData!$AE$3:$AE$40))</f>
        <v>-0.93611740154410361</v>
      </c>
      <c r="AF6" s="8">
        <f>-1*((RawData!AF5-AVERAGE(RawData!$AF$3:$AF$40))/STDEV(RawData!$AF$3:$AF$40))</f>
        <v>0.58969853391564031</v>
      </c>
      <c r="AG6" s="8">
        <f>-1*((RawData!AG5-AVERAGE(RawData!$AG$3:$AG$40))/STDEV(RawData!$AG$3:$AG$40))</f>
        <v>-1.2218766124860361</v>
      </c>
      <c r="AH6" s="8">
        <f>((RawData!AH5-AVERAGE(RawData!$AH$3:$AH$40))/STDEV(RawData!$AH$3:$AH$40))</f>
        <v>0.32819244752489102</v>
      </c>
      <c r="AI6" s="8">
        <f>((RawData!AI5-AVERAGE(RawData!$AI$3:$AI$40))/STDEV(RawData!$AI$3:$AI$40))</f>
        <v>0.55436815918081928</v>
      </c>
      <c r="AJ6" s="8">
        <f>-1*((RawData!AJ5-AVERAGE(RawData!$AJ$3:$AJ$40))/STDEV(RawData!$AJ$3:$AJ$40))</f>
        <v>0.98675438206593025</v>
      </c>
      <c r="AK6" s="8">
        <f>-1*((RawData!AK5-AVERAGE(RawData!$AK$3:$AK$40))/STDEV(RawData!$AK$3:$AK$40))</f>
        <v>-0.95570404628472072</v>
      </c>
      <c r="AL6" s="8">
        <f>-1*((RawData!AL5-AVERAGE(RawData!$AL$3:$AL$40))/STDEV(RawData!$AL$3:$AL$40))</f>
        <v>-1.324969361247853</v>
      </c>
      <c r="AM6" s="8">
        <f>-1*((RawData!AM5-AVERAGE(RawData!$AM$3:$AM$40))/STDEV(RawData!$AM$3:$AM$40))</f>
        <v>-1.2505450415809141</v>
      </c>
      <c r="AN6" s="8">
        <f>((RawData!AN5-AVERAGE(RawData!$AN$3:$AN$40))/STDEV(RawData!$AN$3:$AN$40))</f>
        <v>0.71753265353977802</v>
      </c>
      <c r="AO6" s="8">
        <f>-1*((RawData!AO5-AVERAGE(RawData!$AO$3:$AO$40))/STDEV(RawData!$AO$3:$AO$40))</f>
        <v>-1.3355779146409208</v>
      </c>
      <c r="AP6" s="8">
        <f>-1*((RawData!AP5-AVERAGE(RawData!$AP$3:$AP$40))/STDEV(RawData!$AP$3:$AP$40))</f>
        <v>-0.48376742656450294</v>
      </c>
      <c r="AQ6" s="8">
        <f>-1*((RawData!AQ5-AVERAGE(RawData!$AQ$3:$AQ$40))/STDEV(RawData!$AQ$3:$AQ$40))</f>
        <v>-0.6827406491476623</v>
      </c>
    </row>
    <row r="7" spans="1:43" x14ac:dyDescent="0.3">
      <c r="A7" s="6" t="str">
        <f>RawData!A6</f>
        <v>Canada</v>
      </c>
      <c r="B7" s="8">
        <f>-1*((RawData!B6-AVERAGE(RawData!$B$3:$B$40))/STDEV(RawData!$B$3:$B$40))</f>
        <v>-0.3265948536717862</v>
      </c>
      <c r="C7" s="8">
        <f>((RawData!C6-AVERAGE(RawData!$C$3:$C$40))/STDEV(RawData!$C$3:$C$40))</f>
        <v>-0.11369467106655501</v>
      </c>
      <c r="D7" s="8">
        <f>((RawData!D6-AVERAGE(RawData!$D$3:$D$40))/STDEV(RawData!$D$3:$D$40))</f>
        <v>-0.67882178196123244</v>
      </c>
      <c r="E7" s="8">
        <f>((RawData!E6-AVERAGE(RawData!$E$3:$E$40))/STDEV(RawData!$E$3:$E$40))</f>
        <v>1.3612042114200775</v>
      </c>
      <c r="F7" s="8">
        <f>((RawData!F6-AVERAGE(RawData!$F$3:$F$40))/STDEV(RawData!$F$3:$F$40))</f>
        <v>0.65295966670174976</v>
      </c>
      <c r="G7" s="8">
        <f>((RawData!G6-AVERAGE(RawData!$G$3:$G$40))/STDEV(RawData!$G$3:$G$40))</f>
        <v>-1.4015671378398338</v>
      </c>
      <c r="H7" s="8">
        <f>((RawData!H6-AVERAGE(RawData!$H$3:$H$40))/STDEV(RawData!$H$3:$H$40))</f>
        <v>-0.26625610322561188</v>
      </c>
      <c r="I7" s="8">
        <f>((RawData!I6-AVERAGE(RawData!$I$3:$I$40))/STDEV(RawData!$I$3:$I$40))</f>
        <v>-0.38409362229254129</v>
      </c>
      <c r="J7" s="8">
        <f>-1*((RawData!J6-AVERAGE(RawData!$J$3:$J$40))/STDEV(RawData!$J$3:$J$40))</f>
        <v>0.9361174015441035</v>
      </c>
      <c r="K7" s="8">
        <f>-1*((RawData!K6-AVERAGE(RawData!$K$3:$K$40))/STDEV(RawData!$K$3:$K$40))</f>
        <v>-0.46074849602244206</v>
      </c>
      <c r="L7" s="8">
        <f>-1*((RawData!L6-AVERAGE(RawData!$L$3:$L$40))/STDEV(RawData!$L$3:$L$40))</f>
        <v>0.6703675950928768</v>
      </c>
      <c r="M7" s="8">
        <f>-1*((RawData!M6-AVERAGE(RawData!$M$3:$M$40))/STDEV(RawData!$M$3:$M$40))</f>
        <v>-9.4100449535706648E-2</v>
      </c>
      <c r="N7" s="8">
        <f>-1*((RawData!N6-AVERAGE(RawData!$N$3:$N$40))/STDEV(RawData!$N$3:$N$40))</f>
        <v>0.33845396081495521</v>
      </c>
      <c r="O7" s="8">
        <f>-1*((AbsValues!B6-AVERAGE(AbsValues!$B$3:$B$40))/STDEV(AbsValues!$B$3:$B$40))</f>
        <v>-0.28220029678871167</v>
      </c>
      <c r="P7" s="8">
        <f>-1*((RawData!P6-AVERAGE(RawData!$P$3:$P$40))/STDEV(RawData!$P$3:$P$40))</f>
        <v>-0.79454305970498407</v>
      </c>
      <c r="Q7" s="8">
        <f>-1*((RawData!Q6-AVERAGE(RawData!$Q$3:$Q$40))/STDEV(RawData!$Q$3:$Q$40))</f>
        <v>0.45689355324433595</v>
      </c>
      <c r="R7" s="8">
        <f>-1*((RawData!R6-AVERAGE(RawData!$R$3:$R$40))/STDEV(RawData!$R$3:$R$40))</f>
        <v>5.5971156802570629E-2</v>
      </c>
      <c r="S7" s="8">
        <f>-1*((RawData!S6-AVERAGE(RawData!$S$3:$S$40))/STDEV(RawData!$S$3:$S$40))</f>
        <v>0.33845396081495521</v>
      </c>
      <c r="T7" s="8">
        <f>-1*((AbsValues!C6-AVERAGE(AbsValues!$C$3:$C$40))/STDEV(AbsValues!$C$3:$C$40))</f>
        <v>0.32073762283238327</v>
      </c>
      <c r="U7" s="8">
        <f>-1*((RawData!U6-AVERAGE(RawData!$U$3:$U$40))/STDEV(RawData!$U$3:$U$40))</f>
        <v>-0.51207224447971811</v>
      </c>
      <c r="V7" s="8">
        <f>-1*((RawData!V6-AVERAGE(RawData!$V$3:$V$40))/STDEV(RawData!$V$3:$V$40))</f>
        <v>-1.2792119817510503</v>
      </c>
      <c r="W7" s="8">
        <f>-1*((RawData!W6-AVERAGE(RawData!$W$3:$W$40))/STDEV(RawData!$W$3:$W$40))</f>
        <v>1.3569571972871195</v>
      </c>
      <c r="X7" s="8">
        <f>-1*((RawData!X6-AVERAGE(RawData!$X$3:$X$40))/STDEV(RawData!$X$3:$X$40))</f>
        <v>0.60831672514013235</v>
      </c>
      <c r="Y7" s="8">
        <f>((RawData!Y6-AVERAGE(RawData!$Y$3:$Y$40))/STDEV(RawData!$Y$3:$Y$40))</f>
        <v>-0.22651839321269787</v>
      </c>
      <c r="Z7" s="8">
        <f>((RawData!Z6-AVERAGE(RawData!$Z$3:$Z$40))/STDEV(RawData!$Z$3:$Z$40))</f>
        <v>0.18465614162816085</v>
      </c>
      <c r="AA7" s="8">
        <f>-1*((RawData!AA6-AVERAGE(RawData!$AA$3:$AA$40))/STDEV(RawData!$AA$3:$AA$40))</f>
        <v>-1.4394387321492987</v>
      </c>
      <c r="AB7" s="8">
        <f>-1*((RawData!AB6-AVERAGE(RawData!$AB$3:$AB$40))/STDEV(RawData!$AB$3:$AB$40))</f>
        <v>0.4427560587692117</v>
      </c>
      <c r="AC7" s="8">
        <f>-1*((RawData!AC6-AVERAGE(RawData!$AC$3:$AC$40))/STDEV(RawData!$AC$3:$AC$40))</f>
        <v>1.4524631227012332</v>
      </c>
      <c r="AD7" s="8">
        <f>-1*((RawData!AD6-AVERAGE(RawData!$AD$3:$AD$40))/STDEV(RawData!$AD$3:$AD$40))</f>
        <v>-0.42727718108235579</v>
      </c>
      <c r="AE7" s="8">
        <f>-1*((RawData!AE6-AVERAGE(RawData!$AE$3:$AE$40))/STDEV(RawData!$AE$3:$AE$40))</f>
        <v>-0.93611740154410361</v>
      </c>
      <c r="AF7" s="8">
        <f>-1*((RawData!AF6-AVERAGE(RawData!$AF$3:$AF$40))/STDEV(RawData!$AF$3:$AF$40))</f>
        <v>-1.6511558949637932</v>
      </c>
      <c r="AG7" s="8">
        <f>-1*((RawData!AG6-AVERAGE(RawData!$AG$3:$AG$40))/STDEV(RawData!$AG$3:$AG$40))</f>
        <v>0.79687605162132791</v>
      </c>
      <c r="AH7" s="8">
        <f>((RawData!AH6-AVERAGE(RawData!$AH$3:$AH$40))/STDEV(RawData!$AH$3:$AH$40))</f>
        <v>0.32819244752489102</v>
      </c>
      <c r="AI7" s="8">
        <f>((RawData!AI6-AVERAGE(RawData!$AI$3:$AI$40))/STDEV(RawData!$AI$3:$AI$40))</f>
        <v>-0.7154323259832035</v>
      </c>
      <c r="AJ7" s="8">
        <f>-1*((RawData!AJ6-AVERAGE(RawData!$AJ$3:$AJ$40))/STDEV(RawData!$AJ$3:$AJ$40))</f>
        <v>-0.98675438206593025</v>
      </c>
      <c r="AK7" s="8">
        <f>-1*((RawData!AK6-AVERAGE(RawData!$AK$3:$AK$40))/STDEV(RawData!$AK$3:$AK$40))</f>
        <v>-0.45368231920299124</v>
      </c>
      <c r="AL7" s="8">
        <f>-1*((RawData!AL6-AVERAGE(RawData!$AL$3:$AL$40))/STDEV(RawData!$AL$3:$AL$40))</f>
        <v>-0.8883531438329374</v>
      </c>
      <c r="AM7" s="8">
        <f>-1*((RawData!AM6-AVERAGE(RawData!$AM$3:$AM$40))/STDEV(RawData!$AM$3:$AM$40))</f>
        <v>-0.7463518597571166</v>
      </c>
      <c r="AN7" s="8">
        <f>((RawData!AN6-AVERAGE(RawData!$AN$3:$AN$40))/STDEV(RawData!$AN$3:$AN$40))</f>
        <v>0.75508945909695646</v>
      </c>
      <c r="AO7" s="8">
        <f>-1*((RawData!AO6-AVERAGE(RawData!$AO$3:$AO$40))/STDEV(RawData!$AO$3:$AO$40))</f>
        <v>0.61642057643857884</v>
      </c>
      <c r="AP7" s="8">
        <f>-1*((RawData!AP6-AVERAGE(RawData!$AP$3:$AP$40))/STDEV(RawData!$AP$3:$AP$40))</f>
        <v>1.5588061522633978</v>
      </c>
      <c r="AQ7" s="8">
        <f>-1*((RawData!AQ6-AVERAGE(RawData!$AQ$3:$AQ$40))/STDEV(RawData!$AQ$3:$AQ$40))</f>
        <v>-0.6827406491476623</v>
      </c>
    </row>
    <row r="8" spans="1:43" x14ac:dyDescent="0.3">
      <c r="A8" s="6" t="str">
        <f>RawData!A7</f>
        <v>Switzerland</v>
      </c>
      <c r="B8" s="8">
        <f>-1*((RawData!B7-AVERAGE(RawData!$B$3:$B$40))/STDEV(RawData!$B$3:$B$40))</f>
        <v>0.84146229133605344</v>
      </c>
      <c r="C8" s="8">
        <f>((RawData!C7-AVERAGE(RawData!$C$3:$C$40))/STDEV(RawData!$C$3:$C$40))</f>
        <v>-0.24662997877514239</v>
      </c>
      <c r="D8" s="8">
        <f>((RawData!D7-AVERAGE(RawData!$D$3:$D$40))/STDEV(RawData!$D$3:$D$40))</f>
        <v>-1.0086678059506575</v>
      </c>
      <c r="E8" s="8">
        <f>((RawData!E7-AVERAGE(RawData!$E$3:$E$40))/STDEV(RawData!$E$3:$E$40))</f>
        <v>3.9555029870717927E-2</v>
      </c>
      <c r="F8" s="8">
        <f>((RawData!F7-AVERAGE(RawData!$F$3:$F$40))/STDEV(RawData!$F$3:$F$40))</f>
        <v>0.29010155220335881</v>
      </c>
      <c r="G8" s="8">
        <f>((RawData!G7-AVERAGE(RawData!$G$3:$G$40))/STDEV(RawData!$G$3:$G$40))</f>
        <v>0.78166877754151409</v>
      </c>
      <c r="H8" s="8">
        <f>((RawData!H7-AVERAGE(RawData!$H$3:$H$40))/STDEV(RawData!$H$3:$H$40))</f>
        <v>1.1791341714277106</v>
      </c>
      <c r="I8" s="8">
        <f>((RawData!I7-AVERAGE(RawData!$I$3:$I$40))/STDEV(RawData!$I$3:$I$40))</f>
        <v>-0.38409362229254129</v>
      </c>
      <c r="J8" s="8">
        <f>-1*((RawData!J7-AVERAGE(RawData!$J$3:$J$40))/STDEV(RawData!$J$3:$J$40))</f>
        <v>-1.0401304461601153</v>
      </c>
      <c r="K8" s="8">
        <f>-1*((RawData!K7-AVERAGE(RawData!$K$3:$K$40))/STDEV(RawData!$K$3:$K$40))</f>
        <v>1.4870657709124309</v>
      </c>
      <c r="L8" s="8">
        <f>-1*((RawData!L7-AVERAGE(RawData!$L$3:$L$40))/STDEV(RawData!$L$3:$L$40))</f>
        <v>-1.4524631227012332</v>
      </c>
      <c r="M8" s="8">
        <f>-1*((RawData!M7-AVERAGE(RawData!$M$3:$M$40))/STDEV(RawData!$M$3:$M$40))</f>
        <v>0.6210629669356641</v>
      </c>
      <c r="N8" s="8">
        <f>-1*((RawData!N7-AVERAGE(RawData!$N$3:$N$40))/STDEV(RawData!$N$3:$N$40))</f>
        <v>0.33845396081495521</v>
      </c>
      <c r="O8" s="8">
        <f>-1*((AbsValues!B7-AVERAGE(AbsValues!$B$3:$B$40))/STDEV(AbsValues!$B$3:$B$40))</f>
        <v>-1.5305711937711803</v>
      </c>
      <c r="P8" s="8">
        <f>-1*((RawData!P7-AVERAGE(RawData!$P$3:$P$40))/STDEV(RawData!$P$3:$P$40))</f>
        <v>0.50956495287615855</v>
      </c>
      <c r="Q8" s="8">
        <f>-1*((RawData!Q7-AVERAGE(RawData!$Q$3:$Q$40))/STDEV(RawData!$Q$3:$Q$40))</f>
        <v>0.42275978399761183</v>
      </c>
      <c r="R8" s="8">
        <f>-1*((RawData!R7-AVERAGE(RawData!$R$3:$R$40))/STDEV(RawData!$R$3:$R$40))</f>
        <v>-0.40785751519514174</v>
      </c>
      <c r="S8" s="8">
        <f>-1*((RawData!S7-AVERAGE(RawData!$S$3:$S$40))/STDEV(RawData!$S$3:$S$40))</f>
        <v>0.33845396081495521</v>
      </c>
      <c r="T8" s="8">
        <f>-1*((AbsValues!C7-AVERAGE(AbsValues!$C$3:$C$40))/STDEV(AbsValues!$C$3:$C$40))</f>
        <v>0.32073762283238327</v>
      </c>
      <c r="U8" s="8">
        <f>-1*((RawData!U7-AVERAGE(RawData!$U$3:$U$40))/STDEV(RawData!$U$3:$U$40))</f>
        <v>1.5110201279934961</v>
      </c>
      <c r="V8" s="8">
        <f>-1*((RawData!V7-AVERAGE(RawData!$V$3:$V$40))/STDEV(RawData!$V$3:$V$40))</f>
        <v>0.22477107718429579</v>
      </c>
      <c r="W8" s="8">
        <f>-1*((RawData!W7-AVERAGE(RawData!$W$3:$W$40))/STDEV(RawData!$W$3:$W$40))</f>
        <v>2.1650555879103446</v>
      </c>
      <c r="X8" s="8">
        <f>-1*((RawData!X7-AVERAGE(RawData!$X$3:$X$40))/STDEV(RawData!$X$3:$X$40))</f>
        <v>-0.96119879693450261</v>
      </c>
      <c r="Y8" s="8">
        <f>((RawData!Y7-AVERAGE(RawData!$Y$3:$Y$40))/STDEV(RawData!$Y$3:$Y$40))</f>
        <v>1.0218441914830885</v>
      </c>
      <c r="Z8" s="8">
        <f>((RawData!Z7-AVERAGE(RawData!$Z$3:$Z$40))/STDEV(RawData!$Z$3:$Z$40))</f>
        <v>0.18465614162816085</v>
      </c>
      <c r="AA8" s="8">
        <f>-1*((RawData!AA7-AVERAGE(RawData!$AA$3:$AA$40))/STDEV(RawData!$AA$3:$AA$40))</f>
        <v>0.55380610922533413</v>
      </c>
      <c r="AB8" s="8">
        <f>-1*((RawData!AB7-AVERAGE(RawData!$AB$3:$AB$40))/STDEV(RawData!$AB$3:$AB$40))</f>
        <v>-2.6162858018180688</v>
      </c>
      <c r="AC8" s="8">
        <f>-1*((RawData!AC7-AVERAGE(RawData!$AC$3:$AC$40))/STDEV(RawData!$AC$3:$AC$40))</f>
        <v>-0.6703675950928768</v>
      </c>
      <c r="AD8" s="8">
        <f>-1*((RawData!AD7-AVERAGE(RawData!$AD$3:$AD$40))/STDEV(RawData!$AD$3:$AD$40))</f>
        <v>-0.42727718108235579</v>
      </c>
      <c r="AE8" s="8">
        <f>-1*((RawData!AE7-AVERAGE(RawData!$AE$3:$AE$40))/STDEV(RawData!$AE$3:$AE$40))</f>
        <v>-0.93611740154410361</v>
      </c>
      <c r="AF8" s="8">
        <f>-1*((RawData!AF7-AVERAGE(RawData!$AF$3:$AF$40))/STDEV(RawData!$AF$3:$AF$40))</f>
        <v>-1.6511558949637932</v>
      </c>
      <c r="AG8" s="8">
        <f>-1*((RawData!AG7-AVERAGE(RawData!$AG$3:$AG$40))/STDEV(RawData!$AG$3:$AG$40))</f>
        <v>-1.2218766124860361</v>
      </c>
      <c r="AH8" s="8">
        <f>((RawData!AH7-AVERAGE(RawData!$AH$3:$AH$40))/STDEV(RawData!$AH$3:$AH$40))</f>
        <v>0.32819244752489102</v>
      </c>
      <c r="AI8" s="8">
        <f>((RawData!AI7-AVERAGE(RawData!$AI$3:$AI$40))/STDEV(RawData!$AI$3:$AI$40))</f>
        <v>0.55436815918081928</v>
      </c>
      <c r="AJ8" s="8">
        <f>-1*((RawData!AJ7-AVERAGE(RawData!$AJ$3:$AJ$40))/STDEV(RawData!$AJ$3:$AJ$40))</f>
        <v>0.98675438206593025</v>
      </c>
      <c r="AK8" s="8">
        <f>-1*((RawData!AK7-AVERAGE(RawData!$AK$3:$AK$40))/STDEV(RawData!$AK$3:$AK$40))</f>
        <v>-1.4577257733664502</v>
      </c>
      <c r="AL8" s="8">
        <f>-1*((RawData!AL7-AVERAGE(RawData!$AL$3:$AL$40))/STDEV(RawData!$AL$3:$AL$40))</f>
        <v>-1.7615855786627688</v>
      </c>
      <c r="AM8" s="8">
        <f>-1*((RawData!AM7-AVERAGE(RawData!$AM$3:$AM$40))/STDEV(RawData!$AM$3:$AM$40))</f>
        <v>1.7746140493618718</v>
      </c>
      <c r="AN8" s="8">
        <f>((RawData!AN7-AVERAGE(RawData!$AN$3:$AN$40))/STDEV(RawData!$AN$3:$AN$40))</f>
        <v>1.2808847368974547</v>
      </c>
      <c r="AO8" s="8">
        <f>-1*((RawData!AO7-AVERAGE(RawData!$AO$3:$AO$40))/STDEV(RawData!$AO$3:$AO$40))</f>
        <v>2.568419061662083</v>
      </c>
      <c r="AP8" s="8">
        <f>-1*((RawData!AP7-AVERAGE(RawData!$AP$3:$AP$40))/STDEV(RawData!$AP$3:$AP$40))</f>
        <v>1.5588061522633978</v>
      </c>
      <c r="AQ8" s="8">
        <f>-1*((RawData!AQ7-AVERAGE(RawData!$AQ$3:$AQ$40))/STDEV(RawData!$AQ$3:$AQ$40))</f>
        <v>0.44526564074847519</v>
      </c>
    </row>
    <row r="9" spans="1:43" x14ac:dyDescent="0.3">
      <c r="A9" s="6" t="str">
        <f>RawData!A8</f>
        <v>Chile</v>
      </c>
      <c r="B9" s="8">
        <f>-1*((RawData!B8-AVERAGE(RawData!$B$3:$B$40))/STDEV(RawData!$B$3:$B$40))</f>
        <v>-0.51332180792489923</v>
      </c>
      <c r="C9" s="8">
        <f>((RawData!C8-AVERAGE(RawData!$C$3:$C$40))/STDEV(RawData!$C$3:$C$40))</f>
        <v>-0.24662997877514239</v>
      </c>
      <c r="D9" s="8">
        <f>((RawData!D8-AVERAGE(RawData!$D$3:$D$40))/STDEV(RawData!$D$3:$D$40))</f>
        <v>1.3509999041275362</v>
      </c>
      <c r="E9" s="8">
        <f>((RawData!E8-AVERAGE(RawData!$E$3:$E$40))/STDEV(RawData!$E$3:$E$40))</f>
        <v>-2.7588802461816853</v>
      </c>
      <c r="F9" s="8">
        <f>((RawData!F8-AVERAGE(RawData!$F$3:$F$40))/STDEV(RawData!$F$3:$F$40))</f>
        <v>-0.82888335727583051</v>
      </c>
      <c r="G9" s="8">
        <f>((RawData!G8-AVERAGE(RawData!$G$3:$G$40))/STDEV(RawData!$G$3:$G$40))</f>
        <v>-4.3346012423863058</v>
      </c>
      <c r="H9" s="8">
        <f>((RawData!H8-AVERAGE(RawData!$H$3:$H$40))/STDEV(RawData!$H$3:$H$40))</f>
        <v>-0.26625610322561188</v>
      </c>
      <c r="I9" s="8">
        <f>((RawData!I8-AVERAGE(RawData!$I$3:$I$40))/STDEV(RawData!$I$3:$I$40))</f>
        <v>-0.38409362229254129</v>
      </c>
      <c r="J9" s="8">
        <f>-1*((RawData!J8-AVERAGE(RawData!$J$3:$J$40))/STDEV(RawData!$J$3:$J$40))</f>
        <v>0.9361174015441035</v>
      </c>
      <c r="K9" s="8">
        <f>-1*((RawData!K8-AVERAGE(RawData!$K$3:$K$40))/STDEV(RawData!$K$3:$K$40))</f>
        <v>-1.007887335049092</v>
      </c>
      <c r="L9" s="8">
        <f>-1*((RawData!L8-AVERAGE(RawData!$L$3:$L$40))/STDEV(RawData!$L$3:$L$40))</f>
        <v>0.6703675950928768</v>
      </c>
      <c r="M9" s="8">
        <f>-1*((RawData!M8-AVERAGE(RawData!$M$3:$M$40))/STDEV(RawData!$M$3:$M$40))</f>
        <v>1.3362263834070349</v>
      </c>
      <c r="N9" s="8">
        <f>-1*((RawData!N8-AVERAGE(RawData!$N$3:$N$40))/STDEV(RawData!$N$3:$N$40))</f>
        <v>0.33845396081495521</v>
      </c>
      <c r="O9" s="8">
        <f>-1*((AbsValues!B8-AVERAGE(AbsValues!$B$3:$B$40))/STDEV(AbsValues!$B$3:$B$40))</f>
        <v>0.38287598163305525</v>
      </c>
      <c r="P9" s="8">
        <f>-1*((RawData!P8-AVERAGE(RawData!$P$3:$P$40))/STDEV(RawData!$P$3:$P$40))</f>
        <v>0.66128538866870945</v>
      </c>
      <c r="Q9" s="8">
        <f>-1*((RawData!Q8-AVERAGE(RawData!$Q$3:$Q$40))/STDEV(RawData!$Q$3:$Q$40))</f>
        <v>-1.1587852110597161</v>
      </c>
      <c r="R9" s="8">
        <f>-1*((RawData!R8-AVERAGE(RawData!$R$3:$R$40))/STDEV(RawData!$R$3:$R$40))</f>
        <v>7.6594323689913466E-2</v>
      </c>
      <c r="S9" s="8">
        <f>-1*((RawData!S8-AVERAGE(RawData!$S$3:$S$40))/STDEV(RawData!$S$3:$S$40))</f>
        <v>0.33845396081495521</v>
      </c>
      <c r="T9" s="8">
        <f>-1*((AbsValues!C8-AVERAGE(AbsValues!$C$3:$C$40))/STDEV(AbsValues!$C$3:$C$40))</f>
        <v>0.32073762283238327</v>
      </c>
      <c r="U9" s="8">
        <f>-1*((RawData!U8-AVERAGE(RawData!$U$3:$U$40))/STDEV(RawData!$U$3:$U$40))</f>
        <v>-1.5141647280412167</v>
      </c>
      <c r="V9" s="8">
        <f>-1*((RawData!V8-AVERAGE(RawData!$V$3:$V$40))/STDEV(RawData!$V$3:$V$40))</f>
        <v>7.1725253807349398E-2</v>
      </c>
      <c r="W9" s="8">
        <f>-1*((RawData!W8-AVERAGE(RawData!$W$3:$W$40))/STDEV(RawData!$W$3:$W$40))</f>
        <v>6.7847859864355736E-2</v>
      </c>
      <c r="X9" s="8">
        <f>-1*((RawData!X8-AVERAGE(RawData!$X$3:$X$40))/STDEV(RawData!$X$3:$X$40))</f>
        <v>1.1513215097767115</v>
      </c>
      <c r="Y9" s="8">
        <f>((RawData!Y8-AVERAGE(RawData!$Y$3:$Y$40))/STDEV(RawData!$Y$3:$Y$40))</f>
        <v>0.94846880761199348</v>
      </c>
      <c r="Z9" s="8">
        <f>((RawData!Z8-AVERAGE(RawData!$Z$3:$Z$40))/STDEV(RawData!$Z$3:$Z$40))</f>
        <v>0.18465614162816085</v>
      </c>
      <c r="AA9" s="8">
        <f>-1*((RawData!AA8-AVERAGE(RawData!$AA$3:$AA$40))/STDEV(RawData!$AA$3:$AA$40))</f>
        <v>0.72301223232236356</v>
      </c>
      <c r="AB9" s="8">
        <f>-1*((RawData!AB8-AVERAGE(RawData!$AB$3:$AB$40))/STDEV(RawData!$AB$3:$AB$40))</f>
        <v>0.4427560587692117</v>
      </c>
      <c r="AC9" s="8">
        <f>-1*((RawData!AC8-AVERAGE(RawData!$AC$3:$AC$40))/STDEV(RawData!$AC$3:$AC$40))</f>
        <v>-0.6703675950928768</v>
      </c>
      <c r="AD9" s="8">
        <f>-1*((RawData!AD8-AVERAGE(RawData!$AD$3:$AD$40))/STDEV(RawData!$AD$3:$AD$40))</f>
        <v>2.27881163243923</v>
      </c>
      <c r="AE9" s="8">
        <f>-1*((RawData!AE8-AVERAGE(RawData!$AE$3:$AE$40))/STDEV(RawData!$AE$3:$AE$40))</f>
        <v>-0.93611740154410361</v>
      </c>
      <c r="AF9" s="8">
        <f>-1*((RawData!AF8-AVERAGE(RawData!$AF$3:$AF$40))/STDEV(RawData!$AF$3:$AF$40))</f>
        <v>0.58969853391564031</v>
      </c>
      <c r="AG9" s="8">
        <f>-1*((RawData!AG8-AVERAGE(RawData!$AG$3:$AG$40))/STDEV(RawData!$AG$3:$AG$40))</f>
        <v>0.79687605162132791</v>
      </c>
      <c r="AH9" s="8">
        <f>((RawData!AH8-AVERAGE(RawData!$AH$3:$AH$40))/STDEV(RawData!$AH$3:$AH$40))</f>
        <v>-3.3615451281987254</v>
      </c>
      <c r="AI9" s="8">
        <f>((RawData!AI8-AVERAGE(RawData!$AI$3:$AI$40))/STDEV(RawData!$AI$3:$AI$40))</f>
        <v>-1.9852328111472262</v>
      </c>
      <c r="AJ9" s="8">
        <f>-1*((RawData!AJ8-AVERAGE(RawData!$AJ$3:$AJ$40))/STDEV(RawData!$AJ$3:$AJ$40))</f>
        <v>-0.98675438206593025</v>
      </c>
      <c r="AK9" s="8">
        <f>-1*((RawData!AK8-AVERAGE(RawData!$AK$3:$AK$40))/STDEV(RawData!$AK$3:$AK$40))</f>
        <v>-1.4577257733664502</v>
      </c>
      <c r="AL9" s="8">
        <f>-1*((RawData!AL8-AVERAGE(RawData!$AL$3:$AL$40))/STDEV(RawData!$AL$3:$AL$40))</f>
        <v>-1.7615855786627688</v>
      </c>
      <c r="AM9" s="8">
        <f>-1*((RawData!AM8-AVERAGE(RawData!$AM$3:$AM$40))/STDEV(RawData!$AM$3:$AM$40))</f>
        <v>-1.2505450415809141</v>
      </c>
      <c r="AN9" s="8">
        <f>((RawData!AN8-AVERAGE(RawData!$AN$3:$AN$40))/STDEV(RawData!$AN$3:$AN$40))</f>
        <v>-1.4607620687765726</v>
      </c>
      <c r="AO9" s="8">
        <f>-1*((RawData!AO8-AVERAGE(RawData!$AO$3:$AO$40))/STDEV(RawData!$AO$3:$AO$40))</f>
        <v>-0.35957866910117098</v>
      </c>
      <c r="AP9" s="8">
        <f>-1*((RawData!AP8-AVERAGE(RawData!$AP$3:$AP$40))/STDEV(RawData!$AP$3:$AP$40))</f>
        <v>1.5588061522633978</v>
      </c>
      <c r="AQ9" s="8">
        <f>-1*((RawData!AQ8-AVERAGE(RawData!$AQ$3:$AQ$40))/STDEV(RawData!$AQ$3:$AQ$40))</f>
        <v>1.5732719306446126</v>
      </c>
    </row>
    <row r="10" spans="1:43" x14ac:dyDescent="0.3">
      <c r="A10" s="6" t="str">
        <f>RawData!A9</f>
        <v>Colombia</v>
      </c>
      <c r="B10" s="8">
        <f>-1*((RawData!B9-AVERAGE(RawData!$B$3:$B$40))/STDEV(RawData!$B$3:$B$40))</f>
        <v>-1.9795028614529069</v>
      </c>
      <c r="C10" s="8">
        <f>((RawData!C9-AVERAGE(RawData!$C$3:$C$40))/STDEV(RawData!$C$3:$C$40))</f>
        <v>-0.24662997877514239</v>
      </c>
      <c r="D10" s="8">
        <f>((RawData!D9-AVERAGE(RawData!$D$3:$D$40))/STDEV(RawData!$D$3:$D$40))</f>
        <v>-0.88180395057010941</v>
      </c>
      <c r="E10" s="8">
        <f>((RawData!E9-AVERAGE(RawData!$E$3:$E$40))/STDEV(RawData!$E$3:$E$40))</f>
        <v>-1.4632509676985157</v>
      </c>
      <c r="F10" s="8">
        <f>((RawData!F9-AVERAGE(RawData!$F$3:$F$40))/STDEV(RawData!$F$3:$F$40))</f>
        <v>-0.99706004650999103</v>
      </c>
      <c r="G10" s="8">
        <f>((RawData!G9-AVERAGE(RawData!$G$3:$G$40))/STDEV(RawData!$G$3:$G$40))</f>
        <v>0.5816106691306967</v>
      </c>
      <c r="H10" s="8">
        <f>((RawData!H9-AVERAGE(RawData!$H$3:$H$40))/STDEV(RawData!$H$3:$H$40))</f>
        <v>-0.26625610322561188</v>
      </c>
      <c r="I10" s="8">
        <f>((RawData!I9-AVERAGE(RawData!$I$3:$I$40))/STDEV(RawData!$I$3:$I$40))</f>
        <v>-0.38409362229254129</v>
      </c>
      <c r="J10" s="8">
        <f>-1*((RawData!J9-AVERAGE(RawData!$J$3:$J$40))/STDEV(RawData!$J$3:$J$40))</f>
        <v>0.9361174015441035</v>
      </c>
      <c r="K10" s="8">
        <f>-1*((RawData!K9-AVERAGE(RawData!$K$3:$K$40))/STDEV(RawData!$K$3:$K$40))</f>
        <v>0.76484250339725324</v>
      </c>
      <c r="L10" s="8">
        <f>-1*((RawData!L9-AVERAGE(RawData!$L$3:$L$40))/STDEV(RawData!$L$3:$L$40))</f>
        <v>-1.4524631227012332</v>
      </c>
      <c r="M10" s="8">
        <f>-1*((RawData!M9-AVERAGE(RawData!$M$3:$M$40))/STDEV(RawData!$M$3:$M$40))</f>
        <v>-0.80926386600707745</v>
      </c>
      <c r="N10" s="8">
        <f>-1*((RawData!N9-AVERAGE(RawData!$N$3:$N$40))/STDEV(RawData!$N$3:$N$40))</f>
        <v>0.33845396081495521</v>
      </c>
      <c r="O10" s="8">
        <f>-1*((AbsValues!B9-AVERAGE(AbsValues!$B$3:$B$40))/STDEV(AbsValues!$B$3:$B$40))</f>
        <v>0.42371555509949588</v>
      </c>
      <c r="P10" s="8">
        <f>-1*((RawData!P9-AVERAGE(RawData!$P$3:$P$40))/STDEV(RawData!$P$3:$P$40))</f>
        <v>0.76888882614165965</v>
      </c>
      <c r="Q10" s="8">
        <f>-1*((RawData!Q9-AVERAGE(RawData!$Q$3:$Q$40))/STDEV(RawData!$Q$3:$Q$40))</f>
        <v>-4.6591641764383853</v>
      </c>
      <c r="R10" s="8">
        <f>-1*((RawData!R9-AVERAGE(RawData!$R$3:$R$40))/STDEV(RawData!$R$3:$R$40))</f>
        <v>4.8261268531578514</v>
      </c>
      <c r="S10" s="8">
        <f>-1*((RawData!S9-AVERAGE(RawData!$S$3:$S$40))/STDEV(RawData!$S$3:$S$40))</f>
        <v>0.33845396081495521</v>
      </c>
      <c r="T10" s="8">
        <f>-1*((AbsValues!C9-AVERAGE(AbsValues!$C$3:$C$40))/STDEV(AbsValues!$C$3:$C$40))</f>
        <v>-0.52339323256906078</v>
      </c>
      <c r="U10" s="8">
        <f>-1*((RawData!U9-AVERAGE(RawData!$U$3:$U$40))/STDEV(RawData!$U$3:$U$40))</f>
        <v>0.37657580698047888</v>
      </c>
      <c r="V10" s="8">
        <f>-1*((RawData!V9-AVERAGE(RawData!$V$3:$V$40))/STDEV(RawData!$V$3:$V$40))</f>
        <v>0.41333197351289669</v>
      </c>
      <c r="W10" s="8">
        <f>-1*((RawData!W9-AVERAGE(RawData!$W$3:$W$40))/STDEV(RawData!$W$3:$W$40))</f>
        <v>6.7847859864355736E-2</v>
      </c>
      <c r="X10" s="8">
        <f>-1*((RawData!X9-AVERAGE(RawData!$X$3:$X$40))/STDEV(RawData!$X$3:$X$40))</f>
        <v>1.1513215097767115</v>
      </c>
      <c r="Y10" s="8">
        <f>((RawData!Y9-AVERAGE(RawData!$Y$3:$Y$40))/STDEV(RawData!$Y$3:$Y$40))</f>
        <v>-1.3685786668623656</v>
      </c>
      <c r="Z10" s="8">
        <f>((RawData!Z9-AVERAGE(RawData!$Z$3:$Z$40))/STDEV(RawData!$Z$3:$Z$40))</f>
        <v>0.18465614162816085</v>
      </c>
      <c r="AA10" s="8">
        <f>-1*((RawData!AA9-AVERAGE(RawData!$AA$3:$AA$40))/STDEV(RawData!$AA$3:$AA$40))</f>
        <v>0.72433424495120757</v>
      </c>
      <c r="AB10" s="8">
        <f>-1*((RawData!AB9-AVERAGE(RawData!$AB$3:$AB$40))/STDEV(RawData!$AB$3:$AB$40))</f>
        <v>-2.6162858018180688</v>
      </c>
      <c r="AC10" s="8">
        <f>-1*((RawData!AC9-AVERAGE(RawData!$AC$3:$AC$40))/STDEV(RawData!$AC$3:$AC$40))</f>
        <v>-0.6703675950928768</v>
      </c>
      <c r="AD10" s="8">
        <f>-1*((RawData!AD9-AVERAGE(RawData!$AD$3:$AD$40))/STDEV(RawData!$AD$3:$AD$40))</f>
        <v>-0.42727718108235579</v>
      </c>
      <c r="AE10" s="8">
        <f>-1*((RawData!AE9-AVERAGE(RawData!$AE$3:$AE$40))/STDEV(RawData!$AE$3:$AE$40))</f>
        <v>1.0401304461601151</v>
      </c>
      <c r="AF10" s="8">
        <f>-1*((RawData!AF9-AVERAGE(RawData!$AF$3:$AF$40))/STDEV(RawData!$AF$3:$AF$40))</f>
        <v>-1.6511558949637932</v>
      </c>
      <c r="AG10" s="8">
        <f>-1*((RawData!AG9-AVERAGE(RawData!$AG$3:$AG$40))/STDEV(RawData!$AG$3:$AG$40))</f>
        <v>-1.2218766124860361</v>
      </c>
      <c r="AH10" s="8">
        <f>((RawData!AH9-AVERAGE(RawData!$AH$3:$AH$40))/STDEV(RawData!$AH$3:$AH$40))</f>
        <v>-3.3615451281987254</v>
      </c>
      <c r="AI10" s="8">
        <f>((RawData!AI9-AVERAGE(RawData!$AI$3:$AI$40))/STDEV(RawData!$AI$3:$AI$40))</f>
        <v>-1.9852328111472262</v>
      </c>
      <c r="AJ10" s="8">
        <f>-1*((RawData!AJ9-AVERAGE(RawData!$AJ$3:$AJ$40))/STDEV(RawData!$AJ$3:$AJ$40))</f>
        <v>0.98675438206593025</v>
      </c>
      <c r="AK10" s="8">
        <f>-1*((RawData!AK9-AVERAGE(RawData!$AK$3:$AK$40))/STDEV(RawData!$AK$3:$AK$40))</f>
        <v>4.8339407878738208E-2</v>
      </c>
      <c r="AL10" s="8">
        <f>-1*((RawData!AL9-AVERAGE(RawData!$AL$3:$AL$40))/STDEV(RawData!$AL$3:$AL$40))</f>
        <v>-0.45173692641802171</v>
      </c>
      <c r="AM10" s="8">
        <f>-1*((RawData!AM9-AVERAGE(RawData!$AM$3:$AM$40))/STDEV(RawData!$AM$3:$AM$40))</f>
        <v>-0.24215867793331902</v>
      </c>
      <c r="AN10" s="8">
        <f>((RawData!AN9-AVERAGE(RawData!$AN$3:$AN$40))/STDEV(RawData!$AN$3:$AN$40))</f>
        <v>-2.3245685965916771</v>
      </c>
      <c r="AO10" s="8">
        <f>-1*((RawData!AO9-AVERAGE(RawData!$AO$3:$AO$40))/STDEV(RawData!$AO$3:$AO$40))</f>
        <v>-1.3355779146409208</v>
      </c>
      <c r="AP10" s="8">
        <f>-1*((RawData!AP9-AVERAGE(RawData!$AP$3:$AP$40))/STDEV(RawData!$AP$3:$AP$40))</f>
        <v>1.5588061522633978</v>
      </c>
      <c r="AQ10" s="8">
        <f>-1*((RawData!AQ9-AVERAGE(RawData!$AQ$3:$AQ$40))/STDEV(RawData!$AQ$3:$AQ$40))</f>
        <v>1.5732719306446126</v>
      </c>
    </row>
    <row r="11" spans="1:43" x14ac:dyDescent="0.3">
      <c r="A11" s="6" t="str">
        <f>RawData!A10</f>
        <v>Costa Rica</v>
      </c>
      <c r="B11" s="8">
        <f>-1*((RawData!B10-AVERAGE(RawData!$B$3:$B$40))/STDEV(RawData!$B$3:$B$40))</f>
        <v>-1.0631397029979017</v>
      </c>
      <c r="C11" s="8">
        <f>((RawData!C10-AVERAGE(RawData!$C$3:$C$40))/STDEV(RawData!$C$3:$C$40))</f>
        <v>-0.24662997877514239</v>
      </c>
      <c r="D11" s="8">
        <f>((RawData!D10-AVERAGE(RawData!$D$3:$D$40))/STDEV(RawData!$D$3:$D$40))</f>
        <v>-1.1101588902550958</v>
      </c>
      <c r="E11" s="8">
        <f>((RawData!E10-AVERAGE(RawData!$E$3:$E$40))/STDEV(RawData!$E$3:$E$40))</f>
        <v>-0.42248502145880829</v>
      </c>
      <c r="F11" s="8">
        <f>((RawData!F10-AVERAGE(RawData!$F$3:$F$40))/STDEV(RawData!$F$3:$F$40))</f>
        <v>-1.1366879400335128</v>
      </c>
      <c r="G11" s="8">
        <f>((RawData!G10-AVERAGE(RawData!$G$3:$G$40))/STDEV(RawData!$G$3:$G$40))</f>
        <v>-0.16428036293842818</v>
      </c>
      <c r="H11" s="8">
        <f>((RawData!H10-AVERAGE(RawData!$H$3:$H$40))/STDEV(RawData!$H$3:$H$40))</f>
        <v>-0.26625610322561188</v>
      </c>
      <c r="I11" s="8">
        <f>((RawData!I10-AVERAGE(RawData!$I$3:$I$40))/STDEV(RawData!$I$3:$I$40))</f>
        <v>-0.38409362229254129</v>
      </c>
      <c r="J11" s="8">
        <f>-1*((RawData!J10-AVERAGE(RawData!$J$3:$J$40))/STDEV(RawData!$J$3:$J$40))</f>
        <v>0.9361174015441035</v>
      </c>
      <c r="K11" s="8">
        <f>-1*((RawData!K10-AVERAGE(RawData!$K$3:$K$40))/STDEV(RawData!$K$3:$K$40))</f>
        <v>1.5746079851566945</v>
      </c>
      <c r="L11" s="8">
        <f>-1*((RawData!L10-AVERAGE(RawData!$L$3:$L$40))/STDEV(RawData!$L$3:$L$40))</f>
        <v>0.6703675950928768</v>
      </c>
      <c r="M11" s="8">
        <f>-1*((RawData!M10-AVERAGE(RawData!$M$3:$M$40))/STDEV(RawData!$M$3:$M$40))</f>
        <v>-2.2395906989498191</v>
      </c>
      <c r="N11" s="8">
        <f>-1*((RawData!N10-AVERAGE(RawData!$N$3:$N$40))/STDEV(RawData!$N$3:$N$40))</f>
        <v>0.33845396081495521</v>
      </c>
      <c r="O11" s="8">
        <f>-1*((AbsValues!B10-AVERAGE(AbsValues!$B$3:$B$40))/STDEV(AbsValues!$B$3:$B$40))</f>
        <v>-1.797079178816928</v>
      </c>
      <c r="P11" s="8">
        <f>-1*((RawData!P10-AVERAGE(RawData!$P$3:$P$40))/STDEV(RawData!$P$3:$P$40))</f>
        <v>1.3483100117830065</v>
      </c>
      <c r="Q11" s="8">
        <f>-1*((RawData!Q10-AVERAGE(RawData!$Q$3:$Q$40))/STDEV(RawData!$Q$3:$Q$40))</f>
        <v>2.3567444577936924E-2</v>
      </c>
      <c r="R11" s="8">
        <f>-1*((RawData!R10-AVERAGE(RawData!$R$3:$R$40))/STDEV(RawData!$R$3:$R$40))</f>
        <v>0.66356594914881761</v>
      </c>
      <c r="S11" s="8">
        <f>-1*((RawData!S10-AVERAGE(RawData!$S$3:$S$40))/STDEV(RawData!$S$3:$S$40))</f>
        <v>0.33845396081495521</v>
      </c>
      <c r="T11" s="8">
        <f>-1*((AbsValues!C10-AVERAGE(AbsValues!$C$3:$C$40))/STDEV(AbsValues!$C$3:$C$40))</f>
        <v>-3.8605179943318872</v>
      </c>
      <c r="U11" s="8">
        <f>-1*((RawData!U10-AVERAGE(RawData!$U$3:$U$40))/STDEV(RawData!$U$3:$U$40))</f>
        <v>0.37657580698047888</v>
      </c>
      <c r="V11" s="8">
        <f>-1*((RawData!V10-AVERAGE(RawData!$V$3:$V$40))/STDEV(RawData!$V$3:$V$40))</f>
        <v>0.850828252697586</v>
      </c>
      <c r="W11" s="8">
        <f>-1*((RawData!W10-AVERAGE(RawData!$W$3:$W$40))/STDEV(RawData!$W$3:$W$40))</f>
        <v>1.2222741321832487</v>
      </c>
      <c r="X11" s="8">
        <f>-1*((RawData!X10-AVERAGE(RawData!$X$3:$X$40))/STDEV(RawData!$X$3:$X$40))</f>
        <v>1.1513215097767115</v>
      </c>
      <c r="Y11" s="8">
        <f>((RawData!Y10-AVERAGE(RawData!$Y$3:$Y$40))/STDEV(RawData!$Y$3:$Y$40))</f>
        <v>-0.43150516595816218</v>
      </c>
      <c r="Z11" s="8">
        <f>((RawData!Z10-AVERAGE(RawData!$Z$3:$Z$40))/STDEV(RawData!$Z$3:$Z$40))</f>
        <v>0.18465614162816085</v>
      </c>
      <c r="AA11" s="8">
        <f>-1*((RawData!AA10-AVERAGE(RawData!$AA$3:$AA$40))/STDEV(RawData!$AA$3:$AA$40))</f>
        <v>0.72368385811830882</v>
      </c>
      <c r="AB11" s="8">
        <f>-1*((RawData!AB10-AVERAGE(RawData!$AB$3:$AB$40))/STDEV(RawData!$AB$3:$AB$40))</f>
        <v>0.4427560587692117</v>
      </c>
      <c r="AC11" s="8">
        <f>-1*((RawData!AC10-AVERAGE(RawData!$AC$3:$AC$40))/STDEV(RawData!$AC$3:$AC$40))</f>
        <v>1.4524631227012332</v>
      </c>
      <c r="AD11" s="8">
        <f>-1*((RawData!AD10-AVERAGE(RawData!$AD$3:$AD$40))/STDEV(RawData!$AD$3:$AD$40))</f>
        <v>-0.42727718108235579</v>
      </c>
      <c r="AE11" s="8">
        <f>-1*((RawData!AE10-AVERAGE(RawData!$AE$3:$AE$40))/STDEV(RawData!$AE$3:$AE$40))</f>
        <v>-0.93611740154410361</v>
      </c>
      <c r="AF11" s="8">
        <f>-1*((RawData!AF10-AVERAGE(RawData!$AF$3:$AF$40))/STDEV(RawData!$AF$3:$AF$40))</f>
        <v>0.58969853391564031</v>
      </c>
      <c r="AG11" s="8">
        <f>-1*((RawData!AG10-AVERAGE(RawData!$AG$3:$AG$40))/STDEV(RawData!$AG$3:$AG$40))</f>
        <v>-1.2218766124860361</v>
      </c>
      <c r="AH11" s="8">
        <f>((RawData!AH10-AVERAGE(RawData!$AH$3:$AH$40))/STDEV(RawData!$AH$3:$AH$40))</f>
        <v>0.32819244752489102</v>
      </c>
      <c r="AI11" s="8">
        <f>((RawData!AI10-AVERAGE(RawData!$AI$3:$AI$40))/STDEV(RawData!$AI$3:$AI$40))</f>
        <v>0.55436815918081928</v>
      </c>
      <c r="AJ11" s="8">
        <f>-1*((RawData!AJ10-AVERAGE(RawData!$AJ$3:$AJ$40))/STDEV(RawData!$AJ$3:$AJ$40))</f>
        <v>0.98675438206593025</v>
      </c>
      <c r="AK11" s="8">
        <f>-1*((RawData!AK10-AVERAGE(RawData!$AK$3:$AK$40))/STDEV(RawData!$AK$3:$AK$40))</f>
        <v>0.5503611349604679</v>
      </c>
      <c r="AL11" s="8">
        <f>-1*((RawData!AL10-AVERAGE(RawData!$AL$3:$AL$40))/STDEV(RawData!$AL$3:$AL$40))</f>
        <v>-1.5120709003105757E-2</v>
      </c>
      <c r="AM11" s="8">
        <f>-1*((RawData!AM10-AVERAGE(RawData!$AM$3:$AM$40))/STDEV(RawData!$AM$3:$AM$40))</f>
        <v>-0.7463518597571166</v>
      </c>
      <c r="AN11" s="8">
        <f>((RawData!AN10-AVERAGE(RawData!$AN$3:$AN$40))/STDEV(RawData!$AN$3:$AN$40))</f>
        <v>-2.7001366521634615</v>
      </c>
      <c r="AO11" s="8">
        <f>-1*((RawData!AO10-AVERAGE(RawData!$AO$3:$AO$40))/STDEV(RawData!$AO$3:$AO$40))</f>
        <v>2.568419061662083</v>
      </c>
      <c r="AP11" s="8">
        <f>-1*((RawData!AP10-AVERAGE(RawData!$AP$3:$AP$40))/STDEV(RawData!$AP$3:$AP$40))</f>
        <v>-0.48376742656450294</v>
      </c>
      <c r="AQ11" s="8">
        <f>-1*((RawData!AQ10-AVERAGE(RawData!$AQ$3:$AQ$40))/STDEV(RawData!$AQ$3:$AQ$40))</f>
        <v>1.5732719306446126</v>
      </c>
    </row>
    <row r="12" spans="1:43" x14ac:dyDescent="0.3">
      <c r="A12" s="6" t="str">
        <f>RawData!A11</f>
        <v>Czech Republic</v>
      </c>
      <c r="B12" s="8">
        <f>-1*((RawData!B11-AVERAGE(RawData!$B$3:$B$40))/STDEV(RawData!$B$3:$B$40))</f>
        <v>0.58631398222110742</v>
      </c>
      <c r="C12" s="8">
        <f>((RawData!C11-AVERAGE(RawData!$C$3:$C$40))/STDEV(RawData!$C$3:$C$40))</f>
        <v>-0.15800644030275079</v>
      </c>
      <c r="D12" s="8">
        <f>((RawData!D11-AVERAGE(RawData!$D$3:$D$40))/STDEV(RawData!$D$3:$D$40))</f>
        <v>-1.0594133481028767</v>
      </c>
      <c r="E12" s="8">
        <f>((RawData!E11-AVERAGE(RawData!$E$3:$E$40))/STDEV(RawData!$E$3:$E$40))</f>
        <v>0.21036319631997916</v>
      </c>
      <c r="F12" s="8">
        <f>((RawData!F11-AVERAGE(RawData!$F$3:$F$40))/STDEV(RawData!$F$3:$F$40))</f>
        <v>0.23002688778111929</v>
      </c>
      <c r="G12" s="8">
        <f>((RawData!G11-AVERAGE(RawData!$G$3:$G$40))/STDEV(RawData!$G$3:$G$40))</f>
        <v>0.42027512829508057</v>
      </c>
      <c r="H12" s="8">
        <f>((RawData!H11-AVERAGE(RawData!$H$3:$H$40))/STDEV(RawData!$H$3:$H$40))</f>
        <v>-0.26625610322561188</v>
      </c>
      <c r="I12" s="8">
        <f>((RawData!I11-AVERAGE(RawData!$I$3:$I$40))/STDEV(RawData!$I$3:$I$40))</f>
        <v>-0.38409362229254129</v>
      </c>
      <c r="J12" s="8">
        <f>-1*((RawData!J11-AVERAGE(RawData!$J$3:$J$40))/STDEV(RawData!$J$3:$J$40))</f>
        <v>0.9361174015441035</v>
      </c>
      <c r="K12" s="8">
        <f>-1*((RawData!K11-AVERAGE(RawData!$K$3:$K$40))/STDEV(RawData!$K$3:$K$40))</f>
        <v>-0.39509183533924402</v>
      </c>
      <c r="L12" s="8">
        <f>-1*((RawData!L11-AVERAGE(RawData!$L$3:$L$40))/STDEV(RawData!$L$3:$L$40))</f>
        <v>0.6703675950928768</v>
      </c>
      <c r="M12" s="8">
        <f>-1*((RawData!M11-AVERAGE(RawData!$M$3:$M$40))/STDEV(RawData!$M$3:$M$40))</f>
        <v>0.6210629669356641</v>
      </c>
      <c r="N12" s="8">
        <f>-1*((RawData!N11-AVERAGE(RawData!$N$3:$N$40))/STDEV(RawData!$N$3:$N$40))</f>
        <v>0.33845396081495521</v>
      </c>
      <c r="O12" s="8">
        <f>-1*((AbsValues!B11-AVERAGE(AbsValues!$B$3:$B$40))/STDEV(AbsValues!$B$3:$B$40))</f>
        <v>0.59391264411659439</v>
      </c>
      <c r="P12" s="8">
        <f>-1*((RawData!P11-AVERAGE(RawData!$P$3:$P$40))/STDEV(RawData!$P$3:$P$40))</f>
        <v>1.242342896511063</v>
      </c>
      <c r="Q12" s="8">
        <f>-1*((RawData!Q11-AVERAGE(RawData!$Q$3:$Q$40))/STDEV(RawData!$Q$3:$Q$40))</f>
        <v>0.44866877989362852</v>
      </c>
      <c r="R12" s="8">
        <f>-1*((RawData!R11-AVERAGE(RawData!$R$3:$R$40))/STDEV(RawData!$R$3:$R$40))</f>
        <v>0.50134373359902151</v>
      </c>
      <c r="S12" s="8">
        <f>-1*((RawData!S11-AVERAGE(RawData!$S$3:$S$40))/STDEV(RawData!$S$3:$S$40))</f>
        <v>0.33845396081495521</v>
      </c>
      <c r="T12" s="8">
        <f>-1*((AbsValues!C11-AVERAGE(AbsValues!$C$3:$C$40))/STDEV(AbsValues!$C$3:$C$40))</f>
        <v>0.32073762283238327</v>
      </c>
      <c r="U12" s="8">
        <f>-1*((RawData!U11-AVERAGE(RawData!$U$3:$U$40))/STDEV(RawData!$U$3:$U$40))</f>
        <v>-0.22846116422646376</v>
      </c>
      <c r="V12" s="8">
        <f>-1*((RawData!V11-AVERAGE(RawData!$V$3:$V$40))/STDEV(RawData!$V$3:$V$40))</f>
        <v>0.15083420600208322</v>
      </c>
      <c r="W12" s="8">
        <f>-1*((RawData!W11-AVERAGE(RawData!$W$3:$W$40))/STDEV(RawData!$W$3:$W$40))</f>
        <v>-0.31696089757527524</v>
      </c>
      <c r="X12" s="8">
        <f>-1*((RawData!X11-AVERAGE(RawData!$X$3:$X$40))/STDEV(RawData!$X$3:$X$40))</f>
        <v>-2.0206750800990947</v>
      </c>
      <c r="Y12" s="8">
        <f>((RawData!Y11-AVERAGE(RawData!$Y$3:$Y$40))/STDEV(RawData!$Y$3:$Y$40))</f>
        <v>0.36085130513529001</v>
      </c>
      <c r="Z12" s="8">
        <f>((RawData!Z11-AVERAGE(RawData!$Z$3:$Z$40))/STDEV(RawData!$Z$3:$Z$40))</f>
        <v>0.18465614162816085</v>
      </c>
      <c r="AA12" s="8">
        <f>-1*((RawData!AA11-AVERAGE(RawData!$AA$3:$AA$40))/STDEV(RawData!$AA$3:$AA$40))</f>
        <v>0.71688453360734594</v>
      </c>
      <c r="AB12" s="8">
        <f>-1*((RawData!AB11-AVERAGE(RawData!$AB$3:$AB$40))/STDEV(RawData!$AB$3:$AB$40))</f>
        <v>0.4427560587692117</v>
      </c>
      <c r="AC12" s="8">
        <f>-1*((RawData!AC11-AVERAGE(RawData!$AC$3:$AC$40))/STDEV(RawData!$AC$3:$AC$40))</f>
        <v>-0.6703675950928768</v>
      </c>
      <c r="AD12" s="8">
        <f>-1*((RawData!AD11-AVERAGE(RawData!$AD$3:$AD$40))/STDEV(RawData!$AD$3:$AD$40))</f>
        <v>2.27881163243923</v>
      </c>
      <c r="AE12" s="8">
        <f>-1*((RawData!AE11-AVERAGE(RawData!$AE$3:$AE$40))/STDEV(RawData!$AE$3:$AE$40))</f>
        <v>1.0401304461601151</v>
      </c>
      <c r="AF12" s="8">
        <f>-1*((RawData!AF11-AVERAGE(RawData!$AF$3:$AF$40))/STDEV(RawData!$AF$3:$AF$40))</f>
        <v>0.58969853391564031</v>
      </c>
      <c r="AG12" s="8">
        <f>-1*((RawData!AG11-AVERAGE(RawData!$AG$3:$AG$40))/STDEV(RawData!$AG$3:$AG$40))</f>
        <v>0.79687605162132791</v>
      </c>
      <c r="AH12" s="8">
        <f>((RawData!AH11-AVERAGE(RawData!$AH$3:$AH$40))/STDEV(RawData!$AH$3:$AH$40))</f>
        <v>0.32819244752489102</v>
      </c>
      <c r="AI12" s="8">
        <f>((RawData!AI11-AVERAGE(RawData!$AI$3:$AI$40))/STDEV(RawData!$AI$3:$AI$40))</f>
        <v>0.55436815918081928</v>
      </c>
      <c r="AJ12" s="8">
        <f>-1*((RawData!AJ11-AVERAGE(RawData!$AJ$3:$AJ$40))/STDEV(RawData!$AJ$3:$AJ$40))</f>
        <v>-0.98675438206593025</v>
      </c>
      <c r="AK12" s="8">
        <f>-1*((RawData!AK11-AVERAGE(RawData!$AK$3:$AK$40))/STDEV(RawData!$AK$3:$AK$40))</f>
        <v>0.5503611349604679</v>
      </c>
      <c r="AL12" s="8">
        <f>-1*((RawData!AL11-AVERAGE(RawData!$AL$3:$AL$40))/STDEV(RawData!$AL$3:$AL$40))</f>
        <v>-1.5120709003105757E-2</v>
      </c>
      <c r="AM12" s="8">
        <f>-1*((RawData!AM11-AVERAGE(RawData!$AM$3:$AM$40))/STDEV(RawData!$AM$3:$AM$40))</f>
        <v>0.26203450389047883</v>
      </c>
      <c r="AN12" s="8">
        <f>((RawData!AN11-AVERAGE(RawData!$AN$3:$AN$40))/STDEV(RawData!$AN$3:$AN$40))</f>
        <v>0.83020307021131334</v>
      </c>
      <c r="AO12" s="8">
        <f>-1*((RawData!AO11-AVERAGE(RawData!$AO$3:$AO$40))/STDEV(RawData!$AO$3:$AO$40))</f>
        <v>0.61642057643857884</v>
      </c>
      <c r="AP12" s="8">
        <f>-1*((RawData!AP11-AVERAGE(RawData!$AP$3:$AP$40))/STDEV(RawData!$AP$3:$AP$40))</f>
        <v>-0.48376742656450294</v>
      </c>
      <c r="AQ12" s="8">
        <f>-1*((RawData!AQ11-AVERAGE(RawData!$AQ$3:$AQ$40))/STDEV(RawData!$AQ$3:$AQ$40))</f>
        <v>-0.6827406491476623</v>
      </c>
    </row>
    <row r="13" spans="1:43" x14ac:dyDescent="0.3">
      <c r="A13" s="6" t="str">
        <f>RawData!A12</f>
        <v>Germany</v>
      </c>
      <c r="B13" s="8">
        <f>-1*((RawData!B12-AVERAGE(RawData!$B$3:$B$40))/STDEV(RawData!$B$3:$B$40))</f>
        <v>-1.0738541875918217</v>
      </c>
      <c r="C13" s="8">
        <f>((RawData!C12-AVERAGE(RawData!$C$3:$C$40))/STDEV(RawData!$C$3:$C$40))</f>
        <v>-0.15800644030275079</v>
      </c>
      <c r="D13" s="8">
        <f>((RawData!D12-AVERAGE(RawData!$D$3:$D$40))/STDEV(RawData!$D$3:$D$40))</f>
        <v>0.58981677184424797</v>
      </c>
      <c r="E13" s="8">
        <f>((RawData!E12-AVERAGE(RawData!$E$3:$E$40))/STDEV(RawData!$E$3:$E$40))</f>
        <v>0.24279095868503778</v>
      </c>
      <c r="F13" s="8">
        <f>((RawData!F12-AVERAGE(RawData!$F$3:$F$40))/STDEV(RawData!$F$3:$F$40))</f>
        <v>-0.555134906259802</v>
      </c>
      <c r="G13" s="8">
        <f>((RawData!G12-AVERAGE(RawData!$G$3:$G$40))/STDEV(RawData!$G$3:$G$40))</f>
        <v>0.5816106691306967</v>
      </c>
      <c r="H13" s="8">
        <f>((RawData!H12-AVERAGE(RawData!$H$3:$H$40))/STDEV(RawData!$H$3:$H$40))</f>
        <v>1.1791341714277106</v>
      </c>
      <c r="I13" s="8">
        <f>((RawData!I12-AVERAGE(RawData!$I$3:$I$40))/STDEV(RawData!$I$3:$I$40))</f>
        <v>-0.38409362229254129</v>
      </c>
      <c r="J13" s="8">
        <f>-1*((RawData!J12-AVERAGE(RawData!$J$3:$J$40))/STDEV(RawData!$J$3:$J$40))</f>
        <v>0.9361174015441035</v>
      </c>
      <c r="K13" s="8">
        <f>-1*((RawData!K12-AVERAGE(RawData!$K$3:$K$40))/STDEV(RawData!$K$3:$K$40))</f>
        <v>-0.89845956724376197</v>
      </c>
      <c r="L13" s="8">
        <f>-1*((RawData!L12-AVERAGE(RawData!$L$3:$L$40))/STDEV(RawData!$L$3:$L$40))</f>
        <v>0.6703675950928768</v>
      </c>
      <c r="M13" s="8">
        <f>-1*((RawData!M12-AVERAGE(RawData!$M$3:$M$40))/STDEV(RawData!$M$3:$M$40))</f>
        <v>0.6210629669356641</v>
      </c>
      <c r="N13" s="8">
        <f>-1*((RawData!N12-AVERAGE(RawData!$N$3:$N$40))/STDEV(RawData!$N$3:$N$40))</f>
        <v>-2.8768586669271197</v>
      </c>
      <c r="O13" s="8">
        <f>-1*((AbsValues!B12-AVERAGE(AbsValues!$B$3:$B$40))/STDEV(AbsValues!$B$3:$B$40))</f>
        <v>0.59391264411659439</v>
      </c>
      <c r="P13" s="8">
        <f>-1*((RawData!P12-AVERAGE(RawData!$P$3:$P$40))/STDEV(RawData!$P$3:$P$40))</f>
        <v>-0.14304859017019855</v>
      </c>
      <c r="Q13" s="8">
        <f>-1*((RawData!Q12-AVERAGE(RawData!$Q$3:$Q$40))/STDEV(RawData!$Q$3:$Q$40))</f>
        <v>0.2593647216960232</v>
      </c>
      <c r="R13" s="8">
        <f>-1*((RawData!R12-AVERAGE(RawData!$R$3:$R$40))/STDEV(RawData!$R$3:$R$40))</f>
        <v>0.67456940459015147</v>
      </c>
      <c r="S13" s="8">
        <f>-1*((RawData!S12-AVERAGE(RawData!$S$3:$S$40))/STDEV(RawData!$S$3:$S$40))</f>
        <v>-2.8768586669271197</v>
      </c>
      <c r="T13" s="8">
        <f>-1*((AbsValues!C12-AVERAGE(AbsValues!$C$3:$C$40))/STDEV(AbsValues!$C$3:$C$40))</f>
        <v>0.32073762283238327</v>
      </c>
      <c r="U13" s="8">
        <f>-1*((RawData!U12-AVERAGE(RawData!$U$3:$U$40))/STDEV(RawData!$U$3:$U$40))</f>
        <v>-0.48371113645439245</v>
      </c>
      <c r="V13" s="8">
        <f>-1*((RawData!V12-AVERAGE(RawData!$V$3:$V$40))/STDEV(RawData!$V$3:$V$40))</f>
        <v>-0.14447578244758169</v>
      </c>
      <c r="W13" s="8">
        <f>-1*((RawData!W12-AVERAGE(RawData!$W$3:$W$40))/STDEV(RawData!$W$3:$W$40))</f>
        <v>6.7847859864355736E-2</v>
      </c>
      <c r="X13" s="8">
        <f>-1*((RawData!X12-AVERAGE(RawData!$X$3:$X$40))/STDEV(RawData!$X$3:$X$40))</f>
        <v>0.43073312856141643</v>
      </c>
      <c r="Y13" s="8">
        <f>((RawData!Y12-AVERAGE(RawData!$Y$3:$Y$40))/STDEV(RawData!$Y$3:$Y$40))</f>
        <v>-0.16183975539331868</v>
      </c>
      <c r="Z13" s="8">
        <f>((RawData!Z12-AVERAGE(RawData!$Z$3:$Z$40))/STDEV(RawData!$Z$3:$Z$40))</f>
        <v>0.18465614162816085</v>
      </c>
      <c r="AA13" s="8">
        <f>-1*((RawData!AA12-AVERAGE(RawData!$AA$3:$AA$40))/STDEV(RawData!$AA$3:$AA$40))</f>
        <v>0.30723260770539734</v>
      </c>
      <c r="AB13" s="8">
        <f>-1*((RawData!AB12-AVERAGE(RawData!$AB$3:$AB$40))/STDEV(RawData!$AB$3:$AB$40))</f>
        <v>0.4427560587692117</v>
      </c>
      <c r="AC13" s="8">
        <f>-1*((RawData!AC12-AVERAGE(RawData!$AC$3:$AC$40))/STDEV(RawData!$AC$3:$AC$40))</f>
        <v>-0.6703675950928768</v>
      </c>
      <c r="AD13" s="8">
        <f>-1*((RawData!AD12-AVERAGE(RawData!$AD$3:$AD$40))/STDEV(RawData!$AD$3:$AD$40))</f>
        <v>-0.42727718108235579</v>
      </c>
      <c r="AE13" s="8">
        <f>-1*((RawData!AE12-AVERAGE(RawData!$AE$3:$AE$40))/STDEV(RawData!$AE$3:$AE$40))</f>
        <v>1.0401304461601151</v>
      </c>
      <c r="AF13" s="8">
        <f>-1*((RawData!AF12-AVERAGE(RawData!$AF$3:$AF$40))/STDEV(RawData!$AF$3:$AF$40))</f>
        <v>0.58969853391564031</v>
      </c>
      <c r="AG13" s="8">
        <f>-1*((RawData!AG12-AVERAGE(RawData!$AG$3:$AG$40))/STDEV(RawData!$AG$3:$AG$40))</f>
        <v>0.79687605162132791</v>
      </c>
      <c r="AH13" s="8">
        <f>((RawData!AH12-AVERAGE(RawData!$AH$3:$AH$40))/STDEV(RawData!$AH$3:$AH$40))</f>
        <v>0.14370556873871004</v>
      </c>
      <c r="AI13" s="8">
        <f>((RawData!AI12-AVERAGE(RawData!$AI$3:$AI$40))/STDEV(RawData!$AI$3:$AI$40))</f>
        <v>0.4273881106644169</v>
      </c>
      <c r="AJ13" s="8">
        <f>-1*((RawData!AJ12-AVERAGE(RawData!$AJ$3:$AJ$40))/STDEV(RawData!$AJ$3:$AJ$40))</f>
        <v>0.98675438206593025</v>
      </c>
      <c r="AK13" s="8">
        <f>-1*((RawData!AK12-AVERAGE(RawData!$AK$3:$AK$40))/STDEV(RawData!$AK$3:$AK$40))</f>
        <v>-0.59173829415046675</v>
      </c>
      <c r="AL13" s="8">
        <f>-1*((RawData!AL12-AVERAGE(RawData!$AL$3:$AL$40))/STDEV(RawData!$AL$3:$AL$40))</f>
        <v>1.2947279432416416</v>
      </c>
      <c r="AM13" s="8">
        <f>-1*((RawData!AM12-AVERAGE(RawData!$AM$3:$AM$40))/STDEV(RawData!$AM$3:$AM$40))</f>
        <v>0.17884262888955216</v>
      </c>
      <c r="AN13" s="8">
        <f>((RawData!AN12-AVERAGE(RawData!$AN$3:$AN$40))/STDEV(RawData!$AN$3:$AN$40))</f>
        <v>0.71753265353977802</v>
      </c>
      <c r="AO13" s="8">
        <f>-1*((RawData!AO12-AVERAGE(RawData!$AO$3:$AO$40))/STDEV(RawData!$AO$3:$AO$40))</f>
        <v>0.61642057643857884</v>
      </c>
      <c r="AP13" s="8">
        <f>-1*((RawData!AP12-AVERAGE(RawData!$AP$3:$AP$40))/STDEV(RawData!$AP$3:$AP$40))</f>
        <v>-0.48376742656450294</v>
      </c>
      <c r="AQ13" s="8">
        <f>-1*((RawData!AQ12-AVERAGE(RawData!$AQ$3:$AQ$40))/STDEV(RawData!$AQ$3:$AQ$40))</f>
        <v>-0.6827406491476623</v>
      </c>
    </row>
    <row r="14" spans="1:43" x14ac:dyDescent="0.3">
      <c r="A14" s="6" t="str">
        <f>RawData!A13</f>
        <v>Denmark</v>
      </c>
      <c r="B14" s="8">
        <f>-1*((RawData!B13-AVERAGE(RawData!$B$3:$B$40))/STDEV(RawData!$B$3:$B$40))</f>
        <v>0.40304135053010626</v>
      </c>
      <c r="C14" s="8">
        <f>((RawData!C13-AVERAGE(RawData!$C$3:$C$40))/STDEV(RawData!$C$3:$C$40))</f>
        <v>-0.24662997877514239</v>
      </c>
      <c r="D14" s="8">
        <f>((RawData!D13-AVERAGE(RawData!$D$3:$D$40))/STDEV(RawData!$D$3:$D$40))</f>
        <v>0.3360890610831519</v>
      </c>
      <c r="E14" s="8">
        <f>((RawData!E13-AVERAGE(RawData!$E$3:$E$40))/STDEV(RawData!$E$3:$E$40))</f>
        <v>-0.36751785762416878</v>
      </c>
      <c r="F14" s="8">
        <f>((RawData!F13-AVERAGE(RawData!$F$3:$F$40))/STDEV(RawData!$F$3:$F$40))</f>
        <v>-0.555134906259802</v>
      </c>
      <c r="G14" s="8">
        <f>((RawData!G13-AVERAGE(RawData!$G$3:$G$40))/STDEV(RawData!$G$3:$G$40))</f>
        <v>0.26252276687004672</v>
      </c>
      <c r="H14" s="8">
        <f>((RawData!H13-AVERAGE(RawData!$H$3:$H$40))/STDEV(RawData!$H$3:$H$40))</f>
        <v>-1.7116463778789344</v>
      </c>
      <c r="I14" s="8">
        <f>((RawData!I13-AVERAGE(RawData!$I$3:$I$40))/STDEV(RawData!$I$3:$I$40))</f>
        <v>-0.38409362229254129</v>
      </c>
      <c r="J14" s="8">
        <f>-1*((RawData!J13-AVERAGE(RawData!$J$3:$J$40))/STDEV(RawData!$J$3:$J$40))</f>
        <v>0.9361174015441035</v>
      </c>
      <c r="K14" s="8">
        <f>-1*((RawData!K13-AVERAGE(RawData!$K$3:$K$40))/STDEV(RawData!$K$3:$K$40))</f>
        <v>1.3119813424239029</v>
      </c>
      <c r="L14" s="8">
        <f>-1*((RawData!L13-AVERAGE(RawData!$L$3:$L$40))/STDEV(RawData!$L$3:$L$40))</f>
        <v>-1.4524631227012332</v>
      </c>
      <c r="M14" s="8">
        <f>-1*((RawData!M13-AVERAGE(RawData!$M$3:$M$40))/STDEV(RawData!$M$3:$M$40))</f>
        <v>0.6210629669356641</v>
      </c>
      <c r="N14" s="8">
        <f>-1*((RawData!N13-AVERAGE(RawData!$N$3:$N$40))/STDEV(RawData!$N$3:$N$40))</f>
        <v>0.33845396081495521</v>
      </c>
      <c r="O14" s="8">
        <f>-1*((AbsValues!B13-AVERAGE(AbsValues!$B$3:$B$40))/STDEV(AbsValues!$B$3:$B$40))</f>
        <v>-0.42594905033439845</v>
      </c>
      <c r="P14" s="8">
        <f>-1*((RawData!P13-AVERAGE(RawData!$P$3:$P$40))/STDEV(RawData!$P$3:$P$40))</f>
        <v>-1.0500791919434818</v>
      </c>
      <c r="Q14" s="8">
        <f>-1*((RawData!Q13-AVERAGE(RawData!$Q$3:$Q$40))/STDEV(RawData!$Q$3:$Q$40))</f>
        <v>0.62163708590700262</v>
      </c>
      <c r="R14" s="8">
        <f>-1*((RawData!R13-AVERAGE(RawData!$R$3:$R$40))/STDEV(RawData!$R$3:$R$40))</f>
        <v>4.9027454188895828E-2</v>
      </c>
      <c r="S14" s="8">
        <f>-1*((RawData!S13-AVERAGE(RawData!$S$3:$S$40))/STDEV(RawData!$S$3:$S$40))</f>
        <v>0.33845396081495521</v>
      </c>
      <c r="T14" s="8">
        <f>-1*((AbsValues!C13-AVERAGE(AbsValues!$C$3:$C$40))/STDEV(AbsValues!$C$3:$C$40))</f>
        <v>0.32073762283238327</v>
      </c>
      <c r="U14" s="8">
        <f>-1*((RawData!U13-AVERAGE(RawData!$U$3:$U$40))/STDEV(RawData!$U$3:$U$40))</f>
        <v>-1.6654239708429521</v>
      </c>
      <c r="V14" s="8">
        <f>-1*((RawData!V13-AVERAGE(RawData!$V$3:$V$40))/STDEV(RawData!$V$3:$V$40))</f>
        <v>-1.5116516548997352</v>
      </c>
      <c r="W14" s="8">
        <f>-1*((RawData!W13-AVERAGE(RawData!$W$3:$W$40))/STDEV(RawData!$W$3:$W$40))</f>
        <v>-1.0865784124545372</v>
      </c>
      <c r="X14" s="8">
        <f>-1*((RawData!X13-AVERAGE(RawData!$X$3:$X$40))/STDEV(RawData!$X$3:$X$40))</f>
        <v>0.98637605324285038</v>
      </c>
      <c r="Y14" s="8">
        <f>((RawData!Y13-AVERAGE(RawData!$Y$3:$Y$40))/STDEV(RawData!$Y$3:$Y$40))</f>
        <v>0.57772645875117412</v>
      </c>
      <c r="Z14" s="8">
        <f>((RawData!Z13-AVERAGE(RawData!$Z$3:$Z$40))/STDEV(RawData!$Z$3:$Z$40))</f>
        <v>0.18465614162816085</v>
      </c>
      <c r="AA14" s="8">
        <f>-1*((RawData!AA13-AVERAGE(RawData!$AA$3:$AA$40))/STDEV(RawData!$AA$3:$AA$40))</f>
        <v>0.52790204018022191</v>
      </c>
      <c r="AB14" s="8">
        <f>-1*((RawData!AB13-AVERAGE(RawData!$AB$3:$AB$40))/STDEV(RawData!$AB$3:$AB$40))</f>
        <v>0.4427560587692117</v>
      </c>
      <c r="AC14" s="8">
        <f>-1*((RawData!AC13-AVERAGE(RawData!$AC$3:$AC$40))/STDEV(RawData!$AC$3:$AC$40))</f>
        <v>-0.6703675950928768</v>
      </c>
      <c r="AD14" s="8">
        <f>-1*((RawData!AD13-AVERAGE(RawData!$AD$3:$AD$40))/STDEV(RawData!$AD$3:$AD$40))</f>
        <v>-0.42727718108235579</v>
      </c>
      <c r="AE14" s="8">
        <f>-1*((RawData!AE13-AVERAGE(RawData!$AE$3:$AE$40))/STDEV(RawData!$AE$3:$AE$40))</f>
        <v>1.0401304461601151</v>
      </c>
      <c r="AF14" s="8">
        <f>-1*((RawData!AF13-AVERAGE(RawData!$AF$3:$AF$40))/STDEV(RawData!$AF$3:$AF$40))</f>
        <v>0.58969853391564031</v>
      </c>
      <c r="AG14" s="8">
        <f>-1*((RawData!AG13-AVERAGE(RawData!$AG$3:$AG$40))/STDEV(RawData!$AG$3:$AG$40))</f>
        <v>0.79687605162132791</v>
      </c>
      <c r="AH14" s="8">
        <f>((RawData!AH13-AVERAGE(RawData!$AH$3:$AH$40))/STDEV(RawData!$AH$3:$AH$40))</f>
        <v>0.32819244752489102</v>
      </c>
      <c r="AI14" s="8">
        <f>((RawData!AI13-AVERAGE(RawData!$AI$3:$AI$40))/STDEV(RawData!$AI$3:$AI$40))</f>
        <v>0.55436815918081928</v>
      </c>
      <c r="AJ14" s="8">
        <f>-1*((RawData!AJ13-AVERAGE(RawData!$AJ$3:$AJ$40))/STDEV(RawData!$AJ$3:$AJ$40))</f>
        <v>-0.98675438206593025</v>
      </c>
      <c r="AK14" s="8">
        <f>-1*((RawData!AK13-AVERAGE(RawData!$AK$3:$AK$40))/STDEV(RawData!$AK$3:$AK$40))</f>
        <v>-0.65449101003568322</v>
      </c>
      <c r="AL14" s="8">
        <f>-1*((RawData!AL13-AVERAGE(RawData!$AL$3:$AL$40))/STDEV(RawData!$AL$3:$AL$40))</f>
        <v>-0.62638341338398795</v>
      </c>
      <c r="AM14" s="8">
        <f>-1*((RawData!AM13-AVERAGE(RawData!$AM$3:$AM$40))/STDEV(RawData!$AM$3:$AM$40))</f>
        <v>-0.44383595066283799</v>
      </c>
      <c r="AN14" s="8">
        <f>((RawData!AN13-AVERAGE(RawData!$AN$3:$AN$40))/STDEV(RawData!$AN$3:$AN$40))</f>
        <v>4.1510153510565771E-2</v>
      </c>
      <c r="AO14" s="8">
        <f>-1*((RawData!AO13-AVERAGE(RawData!$AO$3:$AO$40))/STDEV(RawData!$AO$3:$AO$40))</f>
        <v>-1.3355779146409208</v>
      </c>
      <c r="AP14" s="8">
        <f>-1*((RawData!AP13-AVERAGE(RawData!$AP$3:$AP$40))/STDEV(RawData!$AP$3:$AP$40))</f>
        <v>-0.48376742656450294</v>
      </c>
      <c r="AQ14" s="8">
        <f>-1*((RawData!AQ13-AVERAGE(RawData!$AQ$3:$AQ$40))/STDEV(RawData!$AQ$3:$AQ$40))</f>
        <v>-0.6827406491476623</v>
      </c>
    </row>
    <row r="15" spans="1:43" x14ac:dyDescent="0.3">
      <c r="A15" s="6" t="str">
        <f>RawData!A14</f>
        <v>Estonia</v>
      </c>
      <c r="B15" s="8">
        <f>-1*((RawData!B14-AVERAGE(RawData!$B$3:$B$40))/STDEV(RawData!$B$3:$B$40))</f>
        <v>0.40304135053010626</v>
      </c>
      <c r="C15" s="8">
        <f>((RawData!C14-AVERAGE(RawData!$C$3:$C$40))/STDEV(RawData!$C$3:$C$40))</f>
        <v>4.1845469448444375</v>
      </c>
      <c r="D15" s="8">
        <f>((RawData!D14-AVERAGE(RawData!$D$3:$D$40))/STDEV(RawData!$D$3:$D$40))</f>
        <v>1.3509999041275362</v>
      </c>
      <c r="E15" s="8">
        <f>((RawData!E14-AVERAGE(RawData!$E$3:$E$40))/STDEV(RawData!$E$3:$E$40))</f>
        <v>1.7625146972280528</v>
      </c>
      <c r="F15" s="8">
        <f>((RawData!F14-AVERAGE(RawData!$F$3:$F$40))/STDEV(RawData!$F$3:$F$40))</f>
        <v>2.5923737358686152</v>
      </c>
      <c r="G15" s="8">
        <f>((RawData!G14-AVERAGE(RawData!$G$3:$G$40))/STDEV(RawData!$G$3:$G$40))</f>
        <v>1.3170923836209727</v>
      </c>
      <c r="H15" s="8">
        <f>((RawData!H14-AVERAGE(RawData!$H$3:$H$40))/STDEV(RawData!$H$3:$H$40))</f>
        <v>1.1791341714277106</v>
      </c>
      <c r="I15" s="8">
        <f>((RawData!I14-AVERAGE(RawData!$I$3:$I$40))/STDEV(RawData!$I$3:$I$40))</f>
        <v>2.535017907130773</v>
      </c>
      <c r="J15" s="8">
        <f>-1*((RawData!J14-AVERAGE(RawData!$J$3:$J$40))/STDEV(RawData!$J$3:$J$40))</f>
        <v>0.9361174015441035</v>
      </c>
      <c r="K15" s="8">
        <f>-1*((RawData!K14-AVERAGE(RawData!$K$3:$K$40))/STDEV(RawData!$K$3:$K$40))</f>
        <v>1.0493546996911109</v>
      </c>
      <c r="L15" s="8">
        <f>-1*((RawData!L14-AVERAGE(RawData!$L$3:$L$40))/STDEV(RawData!$L$3:$L$40))</f>
        <v>0.6703675950928768</v>
      </c>
      <c r="M15" s="8">
        <f>-1*((RawData!M14-AVERAGE(RawData!$M$3:$M$40))/STDEV(RawData!$M$3:$M$40))</f>
        <v>0.6210629669356641</v>
      </c>
      <c r="N15" s="8">
        <f>-1*((RawData!N14-AVERAGE(RawData!$N$3:$N$40))/STDEV(RawData!$N$3:$N$40))</f>
        <v>0.33845396081495521</v>
      </c>
      <c r="O15" s="8">
        <f>-1*((AbsValues!B14-AVERAGE(AbsValues!$B$3:$B$40))/STDEV(AbsValues!$B$3:$B$40))</f>
        <v>0.59391264411659439</v>
      </c>
      <c r="P15" s="8">
        <f>-1*((RawData!P14-AVERAGE(RawData!$P$3:$P$40))/STDEV(RawData!$P$3:$P$40))</f>
        <v>2.8133499416020462</v>
      </c>
      <c r="Q15" s="8">
        <f>-1*((RawData!Q14-AVERAGE(RawData!$Q$3:$Q$40))/STDEV(RawData!$Q$3:$Q$40))</f>
        <v>0.72018932343192099</v>
      </c>
      <c r="R15" s="8">
        <f>-1*((RawData!R14-AVERAGE(RawData!$R$3:$R$40))/STDEV(RawData!$R$3:$R$40))</f>
        <v>-4.0085870296964886E-2</v>
      </c>
      <c r="S15" s="8">
        <f>-1*((RawData!S14-AVERAGE(RawData!$S$3:$S$40))/STDEV(RawData!$S$3:$S$40))</f>
        <v>0.33845396081495521</v>
      </c>
      <c r="T15" s="8">
        <f>-1*((AbsValues!C14-AVERAGE(AbsValues!$C$3:$C$40))/STDEV(AbsValues!$C$3:$C$40))</f>
        <v>0.32073762283238327</v>
      </c>
      <c r="U15" s="8">
        <f>-1*((RawData!U14-AVERAGE(RawData!$U$3:$U$40))/STDEV(RawData!$U$3:$U$40))</f>
        <v>-0.15283154282559588</v>
      </c>
      <c r="V15" s="8">
        <f>-1*((RawData!V14-AVERAGE(RawData!$V$3:$V$40))/STDEV(RawData!$V$3:$V$40))</f>
        <v>2.1633170902516534</v>
      </c>
      <c r="W15" s="8">
        <f>-1*((RawData!W14-AVERAGE(RawData!$W$3:$W$40))/STDEV(RawData!$W$3:$W$40))</f>
        <v>-0.89417403373472171</v>
      </c>
      <c r="X15" s="8">
        <f>-1*((RawData!X14-AVERAGE(RawData!$X$3:$X$40))/STDEV(RawData!$X$3:$X$40))</f>
        <v>-0.25702873950634836</v>
      </c>
      <c r="Y15" s="8">
        <f>((RawData!Y14-AVERAGE(RawData!$Y$3:$Y$40))/STDEV(RawData!$Y$3:$Y$40))</f>
        <v>1.1710558100598356</v>
      </c>
      <c r="Z15" s="8">
        <f>((RawData!Z14-AVERAGE(RawData!$Z$3:$Z$40))/STDEV(RawData!$Z$3:$Z$40))</f>
        <v>2.5236339355848645</v>
      </c>
      <c r="AA15" s="8">
        <f>-1*((RawData!AA14-AVERAGE(RawData!$AA$3:$AA$40))/STDEV(RawData!$AA$3:$AA$40))</f>
        <v>0.52479407609963669</v>
      </c>
      <c r="AB15" s="8">
        <f>-1*((RawData!AB14-AVERAGE(RawData!$AB$3:$AB$40))/STDEV(RawData!$AB$3:$AB$40))</f>
        <v>0.4427560587692117</v>
      </c>
      <c r="AC15" s="8">
        <f>-1*((RawData!AC14-AVERAGE(RawData!$AC$3:$AC$40))/STDEV(RawData!$AC$3:$AC$40))</f>
        <v>1.4524631227012332</v>
      </c>
      <c r="AD15" s="8">
        <f>-1*((RawData!AD14-AVERAGE(RawData!$AD$3:$AD$40))/STDEV(RawData!$AD$3:$AD$40))</f>
        <v>2.27881163243923</v>
      </c>
      <c r="AE15" s="8">
        <f>-1*((RawData!AE14-AVERAGE(RawData!$AE$3:$AE$40))/STDEV(RawData!$AE$3:$AE$40))</f>
        <v>1.0401304461601151</v>
      </c>
      <c r="AF15" s="8">
        <f>-1*((RawData!AF14-AVERAGE(RawData!$AF$3:$AF$40))/STDEV(RawData!$AF$3:$AF$40))</f>
        <v>0.58969853391564031</v>
      </c>
      <c r="AG15" s="8">
        <f>-1*((RawData!AG14-AVERAGE(RawData!$AG$3:$AG$40))/STDEV(RawData!$AG$3:$AG$40))</f>
        <v>0.79687605162132791</v>
      </c>
      <c r="AH15" s="8">
        <f>((RawData!AH14-AVERAGE(RawData!$AH$3:$AH$40))/STDEV(RawData!$AH$3:$AH$40))</f>
        <v>0.32819244752489102</v>
      </c>
      <c r="AI15" s="8">
        <f>((RawData!AI14-AVERAGE(RawData!$AI$3:$AI$40))/STDEV(RawData!$AI$3:$AI$40))</f>
        <v>0.55436815918081928</v>
      </c>
      <c r="AJ15" s="8">
        <f>-1*((RawData!AJ14-AVERAGE(RawData!$AJ$3:$AJ$40))/STDEV(RawData!$AJ$3:$AJ$40))</f>
        <v>-0.98675438206593025</v>
      </c>
      <c r="AK15" s="8">
        <f>-1*((RawData!AK14-AVERAGE(RawData!$AK$3:$AK$40))/STDEV(RawData!$AK$3:$AK$40))</f>
        <v>2.0564263162056569</v>
      </c>
      <c r="AL15" s="8">
        <f>-1*((RawData!AL14-AVERAGE(RawData!$AL$3:$AL$40))/STDEV(RawData!$AL$3:$AL$40))</f>
        <v>1.2947279432416416</v>
      </c>
      <c r="AM15" s="8">
        <f>-1*((RawData!AM14-AVERAGE(RawData!$AM$3:$AM$40))/STDEV(RawData!$AM$3:$AM$40))</f>
        <v>0.76622768571427646</v>
      </c>
      <c r="AN15" s="8">
        <f>((RawData!AN14-AVERAGE(RawData!$AN$3:$AN$40))/STDEV(RawData!$AN$3:$AN$40))</f>
        <v>-0.48428512428993259</v>
      </c>
      <c r="AO15" s="8">
        <f>-1*((RawData!AO14-AVERAGE(RawData!$AO$3:$AO$40))/STDEV(RawData!$AO$3:$AO$40))</f>
        <v>0.61642057643857884</v>
      </c>
      <c r="AP15" s="8">
        <f>-1*((RawData!AP14-AVERAGE(RawData!$AP$3:$AP$40))/STDEV(RawData!$AP$3:$AP$40))</f>
        <v>-0.48376742656450294</v>
      </c>
      <c r="AQ15" s="8">
        <f>-1*((RawData!AQ14-AVERAGE(RawData!$AQ$3:$AQ$40))/STDEV(RawData!$AQ$3:$AQ$40))</f>
        <v>1.5732719306446126</v>
      </c>
    </row>
    <row r="16" spans="1:43" x14ac:dyDescent="0.3">
      <c r="A16" s="6" t="str">
        <f>RawData!A15</f>
        <v>Spain</v>
      </c>
      <c r="B16" s="8">
        <f>-1*((RawData!B15-AVERAGE(RawData!$B$3:$B$40))/STDEV(RawData!$B$3:$B$40))</f>
        <v>-0.14677654454289685</v>
      </c>
      <c r="C16" s="8">
        <f>((RawData!C15-AVERAGE(RawData!$C$3:$C$40))/STDEV(RawData!$C$3:$C$40))</f>
        <v>-0.24662997877514239</v>
      </c>
      <c r="D16" s="8">
        <f>((RawData!D15-AVERAGE(RawData!$D$3:$D$40))/STDEV(RawData!$D$3:$D$40))</f>
        <v>-0.55195792658068443</v>
      </c>
      <c r="E16" s="8">
        <f>((RawData!E15-AVERAGE(RawData!$E$3:$E$40))/STDEV(RawData!$E$3:$E$40))</f>
        <v>-0.96267782180894057</v>
      </c>
      <c r="F16" s="8">
        <f>((RawData!F15-AVERAGE(RawData!$F$3:$F$40))/STDEV(RawData!$F$3:$F$40))</f>
        <v>-0.555134906259802</v>
      </c>
      <c r="G16" s="8">
        <f>((RawData!G15-AVERAGE(RawData!$G$3:$G$40))/STDEV(RawData!$G$3:$G$40))</f>
        <v>-0.16428036293842818</v>
      </c>
      <c r="H16" s="8">
        <f>((RawData!H15-AVERAGE(RawData!$H$3:$H$40))/STDEV(RawData!$H$3:$H$40))</f>
        <v>-0.26625610322561188</v>
      </c>
      <c r="I16" s="8">
        <f>((RawData!I15-AVERAGE(RawData!$I$3:$I$40))/STDEV(RawData!$I$3:$I$40))</f>
        <v>-0.38409362229254129</v>
      </c>
      <c r="J16" s="8">
        <f>-1*((RawData!J15-AVERAGE(RawData!$J$3:$J$40))/STDEV(RawData!$J$3:$J$40))</f>
        <v>-1.0401304461601153</v>
      </c>
      <c r="K16" s="8">
        <f>-1*((RawData!K15-AVERAGE(RawData!$K$3:$K$40))/STDEV(RawData!$K$3:$K$40))</f>
        <v>-1.1829717635376196</v>
      </c>
      <c r="L16" s="8">
        <f>-1*((RawData!L15-AVERAGE(RawData!$L$3:$L$40))/STDEV(RawData!$L$3:$L$40))</f>
        <v>-1.4524631227012332</v>
      </c>
      <c r="M16" s="8">
        <f>-1*((RawData!M15-AVERAGE(RawData!$M$3:$M$40))/STDEV(RawData!$M$3:$M$40))</f>
        <v>-0.80926386600707745</v>
      </c>
      <c r="N16" s="8">
        <f>-1*((RawData!N15-AVERAGE(RawData!$N$3:$N$40))/STDEV(RawData!$N$3:$N$40))</f>
        <v>0.33845396081495521</v>
      </c>
      <c r="O16" s="8">
        <f>-1*((AbsValues!B15-AVERAGE(AbsValues!$B$3:$B$40))/STDEV(AbsValues!$B$3:$B$40))</f>
        <v>0.59391264411659439</v>
      </c>
      <c r="P16" s="8">
        <f>-1*((RawData!P15-AVERAGE(RawData!$P$3:$P$40))/STDEV(RawData!$P$3:$P$40))</f>
        <v>0.12326938493940306</v>
      </c>
      <c r="Q16" s="8">
        <f>-1*((RawData!Q15-AVERAGE(RawData!$Q$3:$Q$40))/STDEV(RawData!$Q$3:$Q$40))</f>
        <v>-0.27267370469238195</v>
      </c>
      <c r="R16" s="8">
        <f>-1*((RawData!R15-AVERAGE(RawData!$R$3:$R$40))/STDEV(RawData!$R$3:$R$40))</f>
        <v>0.14992426103263423</v>
      </c>
      <c r="S16" s="8">
        <f>-1*((RawData!S15-AVERAGE(RawData!$S$3:$S$40))/STDEV(RawData!$S$3:$S$40))</f>
        <v>0.33845396081495521</v>
      </c>
      <c r="T16" s="8">
        <f>-1*((AbsValues!C15-AVERAGE(AbsValues!$C$3:$C$40))/STDEV(AbsValues!$C$3:$C$40))</f>
        <v>0.32073762283238327</v>
      </c>
      <c r="U16" s="8">
        <f>-1*((RawData!U15-AVERAGE(RawData!$U$3:$U$40))/STDEV(RawData!$U$3:$U$40))</f>
        <v>-0.7578685140325383</v>
      </c>
      <c r="V16" s="8">
        <f>-1*((RawData!V15-AVERAGE(RawData!$V$3:$V$40))/STDEV(RawData!$V$3:$V$40))</f>
        <v>-0.46166058485648137</v>
      </c>
      <c r="W16" s="8">
        <f>-1*((RawData!W15-AVERAGE(RawData!$W$3:$W$40))/STDEV(RawData!$W$3:$W$40))</f>
        <v>-0.31696089757527524</v>
      </c>
      <c r="X16" s="8">
        <f>-1*((RawData!X15-AVERAGE(RawData!$X$3:$X$40))/STDEV(RawData!$X$3:$X$40))</f>
        <v>1.1513215097767115</v>
      </c>
      <c r="Y16" s="8">
        <f>((RawData!Y15-AVERAGE(RawData!$Y$3:$Y$40))/STDEV(RawData!$Y$3:$Y$40))</f>
        <v>-0.89424439792025179</v>
      </c>
      <c r="Z16" s="8">
        <f>((RawData!Z15-AVERAGE(RawData!$Z$3:$Z$40))/STDEV(RawData!$Z$3:$Z$40))</f>
        <v>0.18465614162816085</v>
      </c>
      <c r="AA16" s="8">
        <f>-1*((RawData!AA15-AVERAGE(RawData!$AA$3:$AA$40))/STDEV(RawData!$AA$3:$AA$40))</f>
        <v>-0.43075027031142493</v>
      </c>
      <c r="AB16" s="8">
        <f>-1*((RawData!AB15-AVERAGE(RawData!$AB$3:$AB$40))/STDEV(RawData!$AB$3:$AB$40))</f>
        <v>-2.6162858018180688</v>
      </c>
      <c r="AC16" s="8">
        <f>-1*((RawData!AC15-AVERAGE(RawData!$AC$3:$AC$40))/STDEV(RawData!$AC$3:$AC$40))</f>
        <v>-0.6703675950928768</v>
      </c>
      <c r="AD16" s="8">
        <f>-1*((RawData!AD15-AVERAGE(RawData!$AD$3:$AD$40))/STDEV(RawData!$AD$3:$AD$40))</f>
        <v>-0.42727718108235579</v>
      </c>
      <c r="AE16" s="8">
        <f>-1*((RawData!AE15-AVERAGE(RawData!$AE$3:$AE$40))/STDEV(RawData!$AE$3:$AE$40))</f>
        <v>1.0401304461601151</v>
      </c>
      <c r="AF16" s="8">
        <f>-1*((RawData!AF15-AVERAGE(RawData!$AF$3:$AF$40))/STDEV(RawData!$AF$3:$AF$40))</f>
        <v>-1.6511558949637932</v>
      </c>
      <c r="AG16" s="8">
        <f>-1*((RawData!AG15-AVERAGE(RawData!$AG$3:$AG$40))/STDEV(RawData!$AG$3:$AG$40))</f>
        <v>-1.2218766124860361</v>
      </c>
      <c r="AH16" s="8">
        <f>((RawData!AH15-AVERAGE(RawData!$AH$3:$AH$40))/STDEV(RawData!$AH$3:$AH$40))</f>
        <v>0.14370556873871004</v>
      </c>
      <c r="AI16" s="8">
        <f>((RawData!AI15-AVERAGE(RawData!$AI$3:$AI$40))/STDEV(RawData!$AI$3:$AI$40))</f>
        <v>0.4273881106644169</v>
      </c>
      <c r="AJ16" s="8">
        <f>-1*((RawData!AJ15-AVERAGE(RawData!$AJ$3:$AJ$40))/STDEV(RawData!$AJ$3:$AJ$40))</f>
        <v>-0.98675438206593025</v>
      </c>
      <c r="AK16" s="8">
        <f>-1*((RawData!AK15-AVERAGE(RawData!$AK$3:$AK$40))/STDEV(RawData!$AK$3:$AK$40))</f>
        <v>0.14874375329508421</v>
      </c>
      <c r="AL16" s="8">
        <f>-1*((RawData!AL15-AVERAGE(RawData!$AL$3:$AL$40))/STDEV(RawData!$AL$3:$AL$40))</f>
        <v>-0.36441368293503845</v>
      </c>
      <c r="AM16" s="8">
        <f>-1*((RawData!AM15-AVERAGE(RawData!$AM$3:$AM$40))/STDEV(RawData!$AM$3:$AM$40))</f>
        <v>-0.64551322339235695</v>
      </c>
      <c r="AN16" s="8">
        <f>((RawData!AN15-AVERAGE(RawData!$AN$3:$AN$40))/STDEV(RawData!$AN$3:$AN$40))</f>
        <v>0.71753265353977802</v>
      </c>
      <c r="AO16" s="8">
        <f>-1*((RawData!AO15-AVERAGE(RawData!$AO$3:$AO$40))/STDEV(RawData!$AO$3:$AO$40))</f>
        <v>0.61642057643857884</v>
      </c>
      <c r="AP16" s="8">
        <f>-1*((RawData!AP15-AVERAGE(RawData!$AP$3:$AP$40))/STDEV(RawData!$AP$3:$AP$40))</f>
        <v>-0.48376742656450294</v>
      </c>
      <c r="AQ16" s="8">
        <f>-1*((RawData!AQ15-AVERAGE(RawData!$AQ$3:$AQ$40))/STDEV(RawData!$AQ$3:$AQ$40))</f>
        <v>-0.6827406491476623</v>
      </c>
    </row>
    <row r="17" spans="1:43" x14ac:dyDescent="0.3">
      <c r="A17" s="6" t="str">
        <f>RawData!A16</f>
        <v>Finland</v>
      </c>
      <c r="B17" s="8">
        <f>-1*((RawData!B16-AVERAGE(RawData!$B$3:$B$40))/STDEV(RawData!$B$3:$B$40))</f>
        <v>0.76958661391210814</v>
      </c>
      <c r="C17" s="8">
        <f>((RawData!C16-AVERAGE(RawData!$C$3:$C$40))/STDEV(RawData!$C$3:$C$40))</f>
        <v>-0.24662997877514239</v>
      </c>
      <c r="D17" s="8">
        <f>((RawData!D16-AVERAGE(RawData!$D$3:$D$40))/STDEV(RawData!$D$3:$D$40))</f>
        <v>-0.93254949272232857</v>
      </c>
      <c r="E17" s="8">
        <f>((RawData!E16-AVERAGE(RawData!$E$3:$E$40))/STDEV(RawData!$E$3:$E$40))</f>
        <v>0.95989373791895805</v>
      </c>
      <c r="F17" s="8">
        <f>((RawData!F16-AVERAGE(RawData!$F$3:$F$40))/STDEV(RawData!$F$3:$F$40))</f>
        <v>0.10457361830965707</v>
      </c>
      <c r="G17" s="8">
        <f>((RawData!G16-AVERAGE(RawData!$G$3:$G$40))/STDEV(RawData!$G$3:$G$40))</f>
        <v>-0.16428036293842818</v>
      </c>
      <c r="H17" s="8">
        <f>((RawData!H16-AVERAGE(RawData!$H$3:$H$40))/STDEV(RawData!$H$3:$H$40))</f>
        <v>-1.7116463778789344</v>
      </c>
      <c r="I17" s="8">
        <f>((RawData!I16-AVERAGE(RawData!$I$3:$I$40))/STDEV(RawData!$I$3:$I$40))</f>
        <v>-0.38409362229254129</v>
      </c>
      <c r="J17" s="8">
        <f>-1*((RawData!J16-AVERAGE(RawData!$J$3:$J$40))/STDEV(RawData!$J$3:$J$40))</f>
        <v>0.9361174015441035</v>
      </c>
      <c r="K17" s="8">
        <f>-1*((RawData!K16-AVERAGE(RawData!$K$3:$K$40))/STDEV(RawData!$K$3:$K$40))</f>
        <v>0.48033030710339536</v>
      </c>
      <c r="L17" s="8">
        <f>-1*((RawData!L16-AVERAGE(RawData!$L$3:$L$40))/STDEV(RawData!$L$3:$L$40))</f>
        <v>0.6703675950928768</v>
      </c>
      <c r="M17" s="8">
        <f>-1*((RawData!M16-AVERAGE(RawData!$M$3:$M$40))/STDEV(RawData!$M$3:$M$40))</f>
        <v>0.6210629669356641</v>
      </c>
      <c r="N17" s="8">
        <f>-1*((RawData!N16-AVERAGE(RawData!$N$3:$N$40))/STDEV(RawData!$N$3:$N$40))</f>
        <v>0.33845396081495521</v>
      </c>
      <c r="O17" s="8">
        <f>-1*((AbsValues!B16-AVERAGE(AbsValues!$B$3:$B$40))/STDEV(AbsValues!$B$3:$B$40))</f>
        <v>0.59391264411659439</v>
      </c>
      <c r="P17" s="8">
        <f>-1*((RawData!P16-AVERAGE(RawData!$P$3:$P$40))/STDEV(RawData!$P$3:$P$40))</f>
        <v>-1.2194773307093074</v>
      </c>
      <c r="Q17" s="8">
        <f>-1*((RawData!Q16-AVERAGE(RawData!$Q$3:$Q$40))/STDEV(RawData!$Q$3:$Q$40))</f>
        <v>0.42189091433360493</v>
      </c>
      <c r="R17" s="8">
        <f>-1*((RawData!R16-AVERAGE(RawData!$R$3:$R$40))/STDEV(RawData!$R$3:$R$40))</f>
        <v>-0.2171484879455037</v>
      </c>
      <c r="S17" s="8">
        <f>-1*((RawData!S16-AVERAGE(RawData!$S$3:$S$40))/STDEV(RawData!$S$3:$S$40))</f>
        <v>0.33845396081495521</v>
      </c>
      <c r="T17" s="8">
        <f>-1*((AbsValues!C16-AVERAGE(AbsValues!$C$3:$C$40))/STDEV(AbsValues!$C$3:$C$40))</f>
        <v>0.32073762283238327</v>
      </c>
      <c r="U17" s="8">
        <f>-1*((RawData!U16-AVERAGE(RawData!$U$3:$U$40))/STDEV(RawData!$U$3:$U$40))</f>
        <v>-1.0603869996360098</v>
      </c>
      <c r="V17" s="8">
        <f>-1*((RawData!V16-AVERAGE(RawData!$V$3:$V$40))/STDEV(RawData!$V$3:$V$40))</f>
        <v>-0.36541140343584966</v>
      </c>
      <c r="W17" s="8">
        <f>-1*((RawData!W16-AVERAGE(RawData!$W$3:$W$40))/STDEV(RawData!$W$3:$W$40))</f>
        <v>-1.1827806018144449</v>
      </c>
      <c r="X17" s="8">
        <f>-1*((RawData!X16-AVERAGE(RawData!$X$3:$X$40))/STDEV(RawData!$X$3:$X$40))</f>
        <v>0.61521140810732688</v>
      </c>
      <c r="Y17" s="8">
        <f>((RawData!Y16-AVERAGE(RawData!$Y$3:$Y$40))/STDEV(RawData!$Y$3:$Y$40))</f>
        <v>7.6238525548856476E-2</v>
      </c>
      <c r="Z17" s="8">
        <f>((RawData!Z16-AVERAGE(RawData!$Z$3:$Z$40))/STDEV(RawData!$Z$3:$Z$40))</f>
        <v>0.18465614162816085</v>
      </c>
      <c r="AA17" s="8">
        <f>-1*((RawData!AA16-AVERAGE(RawData!$AA$3:$AA$40))/STDEV(RawData!$AA$3:$AA$40))</f>
        <v>-4.0690467630546193E-2</v>
      </c>
      <c r="AB17" s="8">
        <f>-1*((RawData!AB16-AVERAGE(RawData!$AB$3:$AB$40))/STDEV(RawData!$AB$3:$AB$40))</f>
        <v>0.4427560587692117</v>
      </c>
      <c r="AC17" s="8">
        <f>-1*((RawData!AC16-AVERAGE(RawData!$AC$3:$AC$40))/STDEV(RawData!$AC$3:$AC$40))</f>
        <v>-0.6703675950928768</v>
      </c>
      <c r="AD17" s="8">
        <f>-1*((RawData!AD16-AVERAGE(RawData!$AD$3:$AD$40))/STDEV(RawData!$AD$3:$AD$40))</f>
        <v>-0.42727718108235579</v>
      </c>
      <c r="AE17" s="8">
        <f>-1*((RawData!AE16-AVERAGE(RawData!$AE$3:$AE$40))/STDEV(RawData!$AE$3:$AE$40))</f>
        <v>1.0401304461601151</v>
      </c>
      <c r="AF17" s="8">
        <f>-1*((RawData!AF16-AVERAGE(RawData!$AF$3:$AF$40))/STDEV(RawData!$AF$3:$AF$40))</f>
        <v>0.58969853391564031</v>
      </c>
      <c r="AG17" s="8">
        <f>-1*((RawData!AG16-AVERAGE(RawData!$AG$3:$AG$40))/STDEV(RawData!$AG$3:$AG$40))</f>
        <v>-1.2218766124860361</v>
      </c>
      <c r="AH17" s="8">
        <f>((RawData!AH16-AVERAGE(RawData!$AH$3:$AH$40))/STDEV(RawData!$AH$3:$AH$40))</f>
        <v>0.32819244752489102</v>
      </c>
      <c r="AI17" s="8">
        <f>((RawData!AI16-AVERAGE(RawData!$AI$3:$AI$40))/STDEV(RawData!$AI$3:$AI$40))</f>
        <v>0.55436815918081928</v>
      </c>
      <c r="AJ17" s="8">
        <f>-1*((RawData!AJ16-AVERAGE(RawData!$AJ$3:$AJ$40))/STDEV(RawData!$AJ$3:$AJ$40))</f>
        <v>-0.98675438206593025</v>
      </c>
      <c r="AK17" s="8">
        <f>-1*((RawData!AK16-AVERAGE(RawData!$AK$3:$AK$40))/STDEV(RawData!$AK$3:$AK$40))</f>
        <v>4.8339407878738208E-2</v>
      </c>
      <c r="AL17" s="8">
        <f>-1*((RawData!AL16-AVERAGE(RawData!$AL$3:$AL$40))/STDEV(RawData!$AL$3:$AL$40))</f>
        <v>1.2947279432416416</v>
      </c>
      <c r="AM17" s="8">
        <f>-1*((RawData!AM16-AVERAGE(RawData!$AM$3:$AM$40))/STDEV(RawData!$AM$3:$AM$40))</f>
        <v>-0.24215867793331902</v>
      </c>
      <c r="AN17" s="8">
        <f>((RawData!AN16-AVERAGE(RawData!$AN$3:$AN$40))/STDEV(RawData!$AN$3:$AN$40))</f>
        <v>4.1510153510565771E-2</v>
      </c>
      <c r="AO17" s="8">
        <f>-1*((RawData!AO16-AVERAGE(RawData!$AO$3:$AO$40))/STDEV(RawData!$AO$3:$AO$40))</f>
        <v>-0.35957866910117098</v>
      </c>
      <c r="AP17" s="8">
        <f>-1*((RawData!AP16-AVERAGE(RawData!$AP$3:$AP$40))/STDEV(RawData!$AP$3:$AP$40))</f>
        <v>-0.48376742656450294</v>
      </c>
      <c r="AQ17" s="8">
        <f>-1*((RawData!AQ16-AVERAGE(RawData!$AQ$3:$AQ$40))/STDEV(RawData!$AQ$3:$AQ$40))</f>
        <v>-0.6827406491476623</v>
      </c>
    </row>
    <row r="18" spans="1:43" x14ac:dyDescent="0.3">
      <c r="A18" s="6" t="str">
        <f>RawData!A17</f>
        <v>France</v>
      </c>
      <c r="B18" s="8">
        <f>-1*((RawData!B17-AVERAGE(RawData!$B$3:$B$40))/STDEV(RawData!$B$3:$B$40))</f>
        <v>-2.1866009352637388</v>
      </c>
      <c r="C18" s="8">
        <f>((RawData!C17-AVERAGE(RawData!$C$3:$C$40))/STDEV(RawData!$C$3:$C$40))</f>
        <v>-0.20231820953894661</v>
      </c>
      <c r="D18" s="8">
        <f>((RawData!D17-AVERAGE(RawData!$D$3:$D$40))/STDEV(RawData!$D$3:$D$40))</f>
        <v>8.2361350322055812E-2</v>
      </c>
      <c r="E18" s="8">
        <f>((RawData!E17-AVERAGE(RawData!$E$3:$E$40))/STDEV(RawData!$E$3:$E$40))</f>
        <v>0.28908394360864037</v>
      </c>
      <c r="F18" s="8">
        <f>((RawData!F17-AVERAGE(RawData!$F$3:$F$40))/STDEV(RawData!$F$3:$F$40))</f>
        <v>0.25449494941939654</v>
      </c>
      <c r="G18" s="8">
        <f>((RawData!G17-AVERAGE(RawData!$G$3:$G$40))/STDEV(RawData!$G$3:$G$40))</f>
        <v>0.5816106691306967</v>
      </c>
      <c r="H18" s="8">
        <f>((RawData!H17-AVERAGE(RawData!$H$3:$H$40))/STDEV(RawData!$H$3:$H$40))</f>
        <v>-0.26625610322561188</v>
      </c>
      <c r="I18" s="8">
        <f>((RawData!I17-AVERAGE(RawData!$I$3:$I$40))/STDEV(RawData!$I$3:$I$40))</f>
        <v>-0.38409362229254129</v>
      </c>
      <c r="J18" s="8">
        <f>-1*((RawData!J17-AVERAGE(RawData!$J$3:$J$40))/STDEV(RawData!$J$3:$J$40))</f>
        <v>-1.0401304461601153</v>
      </c>
      <c r="K18" s="8">
        <f>-1*((RawData!K17-AVERAGE(RawData!$K$3:$K$40))/STDEV(RawData!$K$3:$K$40))</f>
        <v>-1.5987972811978737</v>
      </c>
      <c r="L18" s="8">
        <f>-1*((RawData!L17-AVERAGE(RawData!$L$3:$L$40))/STDEV(RawData!$L$3:$L$40))</f>
        <v>-1.4524631227012332</v>
      </c>
      <c r="M18" s="8">
        <f>-1*((RawData!M17-AVERAGE(RawData!$M$3:$M$40))/STDEV(RawData!$M$3:$M$40))</f>
        <v>-1.5244272824784484</v>
      </c>
      <c r="N18" s="8">
        <f>-1*((RawData!N17-AVERAGE(RawData!$N$3:$N$40))/STDEV(RawData!$N$3:$N$40))</f>
        <v>-2.8768586669271197</v>
      </c>
      <c r="O18" s="8">
        <f>-1*((AbsValues!B17-AVERAGE(AbsValues!$B$3:$B$40))/STDEV(AbsValues!$B$3:$B$40))</f>
        <v>-1.0877942001159115</v>
      </c>
      <c r="P18" s="8">
        <f>-1*((RawData!P17-AVERAGE(RawData!$P$3:$P$40))/STDEV(RawData!$P$3:$P$40))</f>
        <v>-1.0143118808620954</v>
      </c>
      <c r="Q18" s="8">
        <f>-1*((RawData!Q17-AVERAGE(RawData!$Q$3:$Q$40))/STDEV(RawData!$Q$3:$Q$40))</f>
        <v>-0.65260085631582854</v>
      </c>
      <c r="R18" s="8">
        <f>-1*((RawData!R17-AVERAGE(RawData!$R$3:$R$40))/STDEV(RawData!$R$3:$R$40))</f>
        <v>-0.18835881847900632</v>
      </c>
      <c r="S18" s="8">
        <f>-1*((RawData!S17-AVERAGE(RawData!$S$3:$S$40))/STDEV(RawData!$S$3:$S$40))</f>
        <v>0.33845396081495521</v>
      </c>
      <c r="T18" s="8">
        <f>-1*((AbsValues!C17-AVERAGE(AbsValues!$C$3:$C$40))/STDEV(AbsValues!$C$3:$C$40))</f>
        <v>0.32073762283238327</v>
      </c>
      <c r="U18" s="8">
        <f>-1*((RawData!U17-AVERAGE(RawData!$U$3:$U$40))/STDEV(RawData!$U$3:$U$40))</f>
        <v>-1.0603869996360098</v>
      </c>
      <c r="V18" s="8">
        <f>-1*((RawData!V17-AVERAGE(RawData!$V$3:$V$40))/STDEV(RawData!$V$3:$V$40))</f>
        <v>-0.81165760820423294</v>
      </c>
      <c r="W18" s="8">
        <f>-1*((RawData!W17-AVERAGE(RawData!$W$3:$W$40))/STDEV(RawData!$W$3:$W$40))</f>
        <v>-0.12455651885545976</v>
      </c>
      <c r="X18" s="8">
        <f>-1*((RawData!X17-AVERAGE(RawData!$X$3:$X$40))/STDEV(RawData!$X$3:$X$40))</f>
        <v>-1.5651019580101122</v>
      </c>
      <c r="Y18" s="8">
        <f>((RawData!Y17-AVERAGE(RawData!$Y$3:$Y$40))/STDEV(RawData!$Y$3:$Y$40))</f>
        <v>-0.39559921167095968</v>
      </c>
      <c r="Z18" s="8">
        <f>((RawData!Z17-AVERAGE(RawData!$Z$3:$Z$40))/STDEV(RawData!$Z$3:$Z$40))</f>
        <v>0.18465614162816085</v>
      </c>
      <c r="AA18" s="8">
        <f>-1*((RawData!AA17-AVERAGE(RawData!$AA$3:$AA$40))/STDEV(RawData!$AA$3:$AA$40))</f>
        <v>-1.30683927810551</v>
      </c>
      <c r="AB18" s="8">
        <f>-1*((RawData!AB17-AVERAGE(RawData!$AB$3:$AB$40))/STDEV(RawData!$AB$3:$AB$40))</f>
        <v>-1.0867648715244287</v>
      </c>
      <c r="AC18" s="8">
        <f>-1*((RawData!AC17-AVERAGE(RawData!$AC$3:$AC$40))/STDEV(RawData!$AC$3:$AC$40))</f>
        <v>-0.6703675950928768</v>
      </c>
      <c r="AD18" s="8">
        <f>-1*((RawData!AD17-AVERAGE(RawData!$AD$3:$AD$40))/STDEV(RawData!$AD$3:$AD$40))</f>
        <v>-0.42727718108235579</v>
      </c>
      <c r="AE18" s="8">
        <f>-1*((RawData!AE17-AVERAGE(RawData!$AE$3:$AE$40))/STDEV(RawData!$AE$3:$AE$40))</f>
        <v>-0.93611740154410361</v>
      </c>
      <c r="AF18" s="8">
        <f>-1*((RawData!AF17-AVERAGE(RawData!$AF$3:$AF$40))/STDEV(RawData!$AF$3:$AF$40))</f>
        <v>0.58969853391564031</v>
      </c>
      <c r="AG18" s="8">
        <f>-1*((RawData!AG17-AVERAGE(RawData!$AG$3:$AG$40))/STDEV(RawData!$AG$3:$AG$40))</f>
        <v>-1.2218766124860361</v>
      </c>
      <c r="AH18" s="8">
        <f>((RawData!AH17-AVERAGE(RawData!$AH$3:$AH$40))/STDEV(RawData!$AH$3:$AH$40))</f>
        <v>0.14370556873871004</v>
      </c>
      <c r="AI18" s="8">
        <f>((RawData!AI17-AVERAGE(RawData!$AI$3:$AI$40))/STDEV(RawData!$AI$3:$AI$40))</f>
        <v>0.24961604274145383</v>
      </c>
      <c r="AJ18" s="8">
        <f>-1*((RawData!AJ17-AVERAGE(RawData!$AJ$3:$AJ$40))/STDEV(RawData!$AJ$3:$AJ$40))</f>
        <v>-0.98675438206593025</v>
      </c>
      <c r="AK18" s="8">
        <f>-1*((RawData!AK17-AVERAGE(RawData!$AK$3:$AK$40))/STDEV(RawData!$AK$3:$AK$40))</f>
        <v>-0.45368231920299124</v>
      </c>
      <c r="AL18" s="8">
        <f>-1*((RawData!AL17-AVERAGE(RawData!$AL$3:$AL$40))/STDEV(RawData!$AL$3:$AL$40))</f>
        <v>1.2947279432416416</v>
      </c>
      <c r="AM18" s="8">
        <f>-1*((RawData!AM17-AVERAGE(RawData!$AM$3:$AM$40))/STDEV(RawData!$AM$3:$AM$40))</f>
        <v>-0.7463518597571166</v>
      </c>
      <c r="AN18" s="8">
        <f>((RawData!AN17-AVERAGE(RawData!$AN$3:$AN$40))/STDEV(RawData!$AN$3:$AN$40))</f>
        <v>1.7691232091407747</v>
      </c>
      <c r="AO18" s="8">
        <f>-1*((RawData!AO17-AVERAGE(RawData!$AO$3:$AO$40))/STDEV(RawData!$AO$3:$AO$40))</f>
        <v>-1.3355779146409208</v>
      </c>
      <c r="AP18" s="8">
        <f>-1*((RawData!AP17-AVERAGE(RawData!$AP$3:$AP$40))/STDEV(RawData!$AP$3:$AP$40))</f>
        <v>-0.48376742656450294</v>
      </c>
      <c r="AQ18" s="8">
        <f>-1*((RawData!AQ17-AVERAGE(RawData!$AQ$3:$AQ$40))/STDEV(RawData!$AQ$3:$AQ$40))</f>
        <v>-0.6827406491476623</v>
      </c>
    </row>
    <row r="19" spans="1:43" x14ac:dyDescent="0.3">
      <c r="A19" s="6" t="str">
        <f>RawData!A18</f>
        <v>United Kingdom</v>
      </c>
      <c r="B19" s="8">
        <f>-1*((RawData!B18-AVERAGE(RawData!$B$3:$B$40))/STDEV(RawData!$B$3:$B$40))</f>
        <v>-0.14677654454289685</v>
      </c>
      <c r="C19" s="8">
        <f>((RawData!C18-AVERAGE(RawData!$C$3:$C$40))/STDEV(RawData!$C$3:$C$40))</f>
        <v>-0.20231820953894661</v>
      </c>
      <c r="D19" s="8">
        <f>((RawData!D18-AVERAGE(RawData!$D$3:$D$40))/STDEV(RawData!$D$3:$D$40))</f>
        <v>8.2361350322055812E-2</v>
      </c>
      <c r="E19" s="8">
        <f>((RawData!E18-AVERAGE(RawData!$E$3:$E$40))/STDEV(RawData!$E$3:$E$40))</f>
        <v>1.7625146972280528</v>
      </c>
      <c r="F19" s="8">
        <f>((RawData!F18-AVERAGE(RawData!$F$3:$F$40))/STDEV(RawData!$F$3:$F$40))</f>
        <v>-0.555134906259802</v>
      </c>
      <c r="G19" s="8">
        <f>((RawData!G18-AVERAGE(RawData!$G$3:$G$40))/STDEV(RawData!$G$3:$G$40))</f>
        <v>0.33891464109292013</v>
      </c>
      <c r="H19" s="8">
        <f>((RawData!H18-AVERAGE(RawData!$H$3:$H$40))/STDEV(RawData!$H$3:$H$40))</f>
        <v>-1.7116463778789344</v>
      </c>
      <c r="I19" s="8">
        <f>((RawData!I18-AVERAGE(RawData!$I$3:$I$40))/STDEV(RawData!$I$3:$I$40))</f>
        <v>-0.38409362229254129</v>
      </c>
      <c r="J19" s="8">
        <f>-1*((RawData!J18-AVERAGE(RawData!$J$3:$J$40))/STDEV(RawData!$J$3:$J$40))</f>
        <v>-1.0401304461601153</v>
      </c>
      <c r="K19" s="8">
        <f>-1*((RawData!K18-AVERAGE(RawData!$K$3:$K$40))/STDEV(RawData!$K$3:$K$40))</f>
        <v>-0.24189296041178221</v>
      </c>
      <c r="L19" s="8">
        <f>-1*((RawData!L18-AVERAGE(RawData!$L$3:$L$40))/STDEV(RawData!$L$3:$L$40))</f>
        <v>-1.4524631227012332</v>
      </c>
      <c r="M19" s="8">
        <f>-1*((RawData!M18-AVERAGE(RawData!$M$3:$M$40))/STDEV(RawData!$M$3:$M$40))</f>
        <v>-0.80926386600707745</v>
      </c>
      <c r="N19" s="8">
        <f>-1*((RawData!N18-AVERAGE(RawData!$N$3:$N$40))/STDEV(RawData!$N$3:$N$40))</f>
        <v>0.33845396081495521</v>
      </c>
      <c r="O19" s="8">
        <f>-1*((AbsValues!B18-AVERAGE(AbsValues!$B$3:$B$40))/STDEV(AbsValues!$B$3:$B$40))</f>
        <v>0.59391264411659439</v>
      </c>
      <c r="P19" s="8">
        <f>-1*((RawData!P18-AVERAGE(RawData!$P$3:$P$40))/STDEV(RawData!$P$3:$P$40))</f>
        <v>-9.1937059593607998E-2</v>
      </c>
      <c r="Q19" s="8">
        <f>-1*((RawData!Q18-AVERAGE(RawData!$Q$3:$Q$40))/STDEV(RawData!$Q$3:$Q$40))</f>
        <v>0.49562517556024699</v>
      </c>
      <c r="R19" s="8">
        <f>-1*((RawData!R18-AVERAGE(RawData!$R$3:$R$40))/STDEV(RawData!$R$3:$R$40))</f>
        <v>-0.89326214758635558</v>
      </c>
      <c r="S19" s="8">
        <f>-1*((RawData!S18-AVERAGE(RawData!$S$3:$S$40))/STDEV(RawData!$S$3:$S$40))</f>
        <v>0.33845396081495521</v>
      </c>
      <c r="T19" s="8">
        <f>-1*((AbsValues!C18-AVERAGE(AbsValues!$C$3:$C$40))/STDEV(AbsValues!$C$3:$C$40))</f>
        <v>0.32073762283238327</v>
      </c>
      <c r="U19" s="8">
        <f>-1*((RawData!U18-AVERAGE(RawData!$U$3:$U$40))/STDEV(RawData!$U$3:$U$40))</f>
        <v>-0.30409078562733144</v>
      </c>
      <c r="V19" s="8">
        <f>-1*((RawData!V18-AVERAGE(RawData!$V$3:$V$40))/STDEV(RawData!$V$3:$V$40))</f>
        <v>-1.2797786269318503</v>
      </c>
      <c r="W19" s="8">
        <f>-1*((RawData!W18-AVERAGE(RawData!$W$3:$W$40))/STDEV(RawData!$W$3:$W$40))</f>
        <v>-0.12455651885545976</v>
      </c>
      <c r="X19" s="8">
        <f>-1*((RawData!X18-AVERAGE(RawData!$X$3:$X$40))/STDEV(RawData!$X$3:$X$40))</f>
        <v>-1.5713738507551305</v>
      </c>
      <c r="Y19" s="8">
        <f>((RawData!Y18-AVERAGE(RawData!$Y$3:$Y$40))/STDEV(RawData!$Y$3:$Y$40))</f>
        <v>-0.66716454270796721</v>
      </c>
      <c r="Z19" s="8">
        <f>((RawData!Z18-AVERAGE(RawData!$Z$3:$Z$40))/STDEV(RawData!$Z$3:$Z$40))</f>
        <v>0.18465614162816085</v>
      </c>
      <c r="AA19" s="8">
        <f>-1*((RawData!AA18-AVERAGE(RawData!$AA$3:$AA$40))/STDEV(RawData!$AA$3:$AA$40))</f>
        <v>-3.8772044398601722</v>
      </c>
      <c r="AB19" s="8">
        <f>-1*((RawData!AB18-AVERAGE(RawData!$AB$3:$AB$40))/STDEV(RawData!$AB$3:$AB$40))</f>
        <v>0.4427560587692117</v>
      </c>
      <c r="AC19" s="8">
        <f>-1*((RawData!AC18-AVERAGE(RawData!$AC$3:$AC$40))/STDEV(RawData!$AC$3:$AC$40))</f>
        <v>-0.6703675950928768</v>
      </c>
      <c r="AD19" s="8">
        <f>-1*((RawData!AD18-AVERAGE(RawData!$AD$3:$AD$40))/STDEV(RawData!$AD$3:$AD$40))</f>
        <v>-0.42727718108235579</v>
      </c>
      <c r="AE19" s="8">
        <f>-1*((RawData!AE18-AVERAGE(RawData!$AE$3:$AE$40))/STDEV(RawData!$AE$3:$AE$40))</f>
        <v>-0.93611740154410361</v>
      </c>
      <c r="AF19" s="8">
        <f>-1*((RawData!AF18-AVERAGE(RawData!$AF$3:$AF$40))/STDEV(RawData!$AF$3:$AF$40))</f>
        <v>0.58969853391564031</v>
      </c>
      <c r="AG19" s="8">
        <f>-1*((RawData!AG18-AVERAGE(RawData!$AG$3:$AG$40))/STDEV(RawData!$AG$3:$AG$40))</f>
        <v>-1.2218766124860361</v>
      </c>
      <c r="AH19" s="8">
        <f>((RawData!AH18-AVERAGE(RawData!$AH$3:$AH$40))/STDEV(RawData!$AH$3:$AH$40))</f>
        <v>0.32819244752489102</v>
      </c>
      <c r="AI19" s="8">
        <f>((RawData!AI18-AVERAGE(RawData!$AI$3:$AI$40))/STDEV(RawData!$AI$3:$AI$40))</f>
        <v>0.55436815918081928</v>
      </c>
      <c r="AJ19" s="8">
        <f>-1*((RawData!AJ18-AVERAGE(RawData!$AJ$3:$AJ$40))/STDEV(RawData!$AJ$3:$AJ$40))</f>
        <v>0.98675438206593025</v>
      </c>
      <c r="AK19" s="8">
        <f>-1*((RawData!AK18-AVERAGE(RawData!$AK$3:$AK$40))/STDEV(RawData!$AK$3:$AK$40))</f>
        <v>2.0564263162056569</v>
      </c>
      <c r="AL19" s="8">
        <f>-1*((RawData!AL18-AVERAGE(RawData!$AL$3:$AL$40))/STDEV(RawData!$AL$3:$AL$40))</f>
        <v>-0.45173692641802171</v>
      </c>
      <c r="AM19" s="8">
        <f>-1*((RawData!AM18-AVERAGE(RawData!$AM$3:$AM$40))/STDEV(RawData!$AM$3:$AM$40))</f>
        <v>-0.24215867793331902</v>
      </c>
      <c r="AN19" s="8">
        <f>((RawData!AN18-AVERAGE(RawData!$AN$3:$AN$40))/STDEV(RawData!$AN$3:$AN$40))</f>
        <v>2.1071344591553807</v>
      </c>
      <c r="AO19" s="8">
        <f>-1*((RawData!AO18-AVERAGE(RawData!$AO$3:$AO$40))/STDEV(RawData!$AO$3:$AO$40))</f>
        <v>-0.35957866910117098</v>
      </c>
      <c r="AP19" s="8">
        <f>-1*((RawData!AP18-AVERAGE(RawData!$AP$3:$AP$40))/STDEV(RawData!$AP$3:$AP$40))</f>
        <v>-0.48376742656450294</v>
      </c>
      <c r="AQ19" s="8">
        <f>-1*((RawData!AQ18-AVERAGE(RawData!$AQ$3:$AQ$40))/STDEV(RawData!$AQ$3:$AQ$40))</f>
        <v>-0.6827406491476623</v>
      </c>
    </row>
    <row r="20" spans="1:43" x14ac:dyDescent="0.3">
      <c r="A20" s="6" t="str">
        <f>RawData!A19</f>
        <v>Greece</v>
      </c>
      <c r="B20" s="8">
        <f>-1*((RawData!B19-AVERAGE(RawData!$B$3:$B$40))/STDEV(RawData!$B$3:$B$40))</f>
        <v>0.40304135053010626</v>
      </c>
      <c r="C20" s="8">
        <f>((RawData!C19-AVERAGE(RawData!$C$3:$C$40))/STDEV(RawData!$C$3:$C$40))</f>
        <v>-0.24662997877514239</v>
      </c>
      <c r="D20" s="8">
        <f>((RawData!D19-AVERAGE(RawData!$D$3:$D$40))/STDEV(RawData!$D$3:$D$40))</f>
        <v>-1.0594133481028767</v>
      </c>
      <c r="E20" s="8">
        <f>((RawData!E19-AVERAGE(RawData!$E$3:$E$40))/STDEV(RawData!$E$3:$E$40))</f>
        <v>-1.4632509676985157</v>
      </c>
      <c r="F20" s="8">
        <f>((RawData!F19-AVERAGE(RawData!$F$3:$F$40))/STDEV(RawData!$F$3:$F$40))</f>
        <v>-0.10047077899988448</v>
      </c>
      <c r="G20" s="8">
        <f>((RawData!G19-AVERAGE(RawData!$G$3:$G$40))/STDEV(RawData!$G$3:$G$40))</f>
        <v>-0.16428036293842818</v>
      </c>
      <c r="H20" s="8">
        <f>((RawData!H19-AVERAGE(RawData!$H$3:$H$40))/STDEV(RawData!$H$3:$H$40))</f>
        <v>-0.26625610322561188</v>
      </c>
      <c r="I20" s="8">
        <f>((RawData!I19-AVERAGE(RawData!$I$3:$I$40))/STDEV(RawData!$I$3:$I$40))</f>
        <v>-0.38409362229254129</v>
      </c>
      <c r="J20" s="8">
        <f>-1*((RawData!J19-AVERAGE(RawData!$J$3:$J$40))/STDEV(RawData!$J$3:$J$40))</f>
        <v>0.9361174015441035</v>
      </c>
      <c r="K20" s="8">
        <f>-1*((RawData!K19-AVERAGE(RawData!$K$3:$K$40))/STDEV(RawData!$K$3:$K$40))</f>
        <v>-0.61394737094990404</v>
      </c>
      <c r="L20" s="8">
        <f>-1*((RawData!L19-AVERAGE(RawData!$L$3:$L$40))/STDEV(RawData!$L$3:$L$40))</f>
        <v>0.6703675950928768</v>
      </c>
      <c r="M20" s="8">
        <f>-1*((RawData!M19-AVERAGE(RawData!$M$3:$M$40))/STDEV(RawData!$M$3:$M$40))</f>
        <v>0.6210629669356641</v>
      </c>
      <c r="N20" s="8">
        <f>-1*((RawData!N19-AVERAGE(RawData!$N$3:$N$40))/STDEV(RawData!$N$3:$N$40))</f>
        <v>0.33845396081495521</v>
      </c>
      <c r="O20" s="8">
        <f>-1*((AbsValues!B19-AVERAGE(AbsValues!$B$3:$B$40))/STDEV(AbsValues!$B$3:$B$40))</f>
        <v>0.59391264411659439</v>
      </c>
      <c r="P20" s="8">
        <f>-1*((RawData!P19-AVERAGE(RawData!$P$3:$P$40))/STDEV(RawData!$P$3:$P$40))</f>
        <v>-0.79026045145877699</v>
      </c>
      <c r="Q20" s="8">
        <f>-1*((RawData!Q19-AVERAGE(RawData!$Q$3:$Q$40))/STDEV(RawData!$Q$3:$Q$40))</f>
        <v>0.55916816193444807</v>
      </c>
      <c r="R20" s="8">
        <f>-1*((RawData!R19-AVERAGE(RawData!$R$3:$R$40))/STDEV(RawData!$R$3:$R$40))</f>
        <v>-0.20308265318889451</v>
      </c>
      <c r="S20" s="8">
        <f>-1*((RawData!S19-AVERAGE(RawData!$S$3:$S$40))/STDEV(RawData!$S$3:$S$40))</f>
        <v>0.33845396081495521</v>
      </c>
      <c r="T20" s="8">
        <f>-1*((AbsValues!C19-AVERAGE(AbsValues!$C$3:$C$40))/STDEV(AbsValues!$C$3:$C$40))</f>
        <v>0.32073762283238327</v>
      </c>
      <c r="U20" s="8">
        <f>-1*((RawData!U19-AVERAGE(RawData!$U$3:$U$40))/STDEV(RawData!$U$3:$U$40))</f>
        <v>1.5110201279934961</v>
      </c>
      <c r="V20" s="8">
        <f>-1*((RawData!V19-AVERAGE(RawData!$V$3:$V$40))/STDEV(RawData!$V$3:$V$40))</f>
        <v>1.7258208110669642</v>
      </c>
      <c r="W20" s="8">
        <f>-1*((RawData!W19-AVERAGE(RawData!$W$3:$W$40))/STDEV(RawData!$W$3:$W$40))</f>
        <v>-0.89417403373472171</v>
      </c>
      <c r="X20" s="8">
        <f>-1*((RawData!X19-AVERAGE(RawData!$X$3:$X$40))/STDEV(RawData!$X$3:$X$40))</f>
        <v>0.75521010894148322</v>
      </c>
      <c r="Y20" s="8">
        <f>((RawData!Y19-AVERAGE(RawData!$Y$3:$Y$40))/STDEV(RawData!$Y$3:$Y$40))</f>
        <v>-0.99097037533689103</v>
      </c>
      <c r="Z20" s="8">
        <f>((RawData!Z19-AVERAGE(RawData!$Z$3:$Z$40))/STDEV(RawData!$Z$3:$Z$40))</f>
        <v>0.18465614162816085</v>
      </c>
      <c r="AA20" s="8">
        <f>-1*((RawData!AA19-AVERAGE(RawData!$AA$3:$AA$40))/STDEV(RawData!$AA$3:$AA$40))</f>
        <v>-1.3591859421021801</v>
      </c>
      <c r="AB20" s="8">
        <f>-1*((RawData!AB19-AVERAGE(RawData!$AB$3:$AB$40))/STDEV(RawData!$AB$3:$AB$40))</f>
        <v>0.4427560587692117</v>
      </c>
      <c r="AC20" s="8">
        <f>-1*((RawData!AC19-AVERAGE(RawData!$AC$3:$AC$40))/STDEV(RawData!$AC$3:$AC$40))</f>
        <v>-0.6703675950928768</v>
      </c>
      <c r="AD20" s="8">
        <f>-1*((RawData!AD19-AVERAGE(RawData!$AD$3:$AD$40))/STDEV(RawData!$AD$3:$AD$40))</f>
        <v>-0.42727718108235579</v>
      </c>
      <c r="AE20" s="8">
        <f>-1*((RawData!AE19-AVERAGE(RawData!$AE$3:$AE$40))/STDEV(RawData!$AE$3:$AE$40))</f>
        <v>-0.93611740154410361</v>
      </c>
      <c r="AF20" s="8">
        <f>-1*((RawData!AF19-AVERAGE(RawData!$AF$3:$AF$40))/STDEV(RawData!$AF$3:$AF$40))</f>
        <v>-1.6511558949637932</v>
      </c>
      <c r="AG20" s="8">
        <f>-1*((RawData!AG19-AVERAGE(RawData!$AG$3:$AG$40))/STDEV(RawData!$AG$3:$AG$40))</f>
        <v>0.79687605162132791</v>
      </c>
      <c r="AH20" s="8">
        <f>((RawData!AH19-AVERAGE(RawData!$AH$3:$AH$40))/STDEV(RawData!$AH$3:$AH$40))</f>
        <v>0.32819244752489102</v>
      </c>
      <c r="AI20" s="8">
        <f>((RawData!AI19-AVERAGE(RawData!$AI$3:$AI$40))/STDEV(RawData!$AI$3:$AI$40))</f>
        <v>0.55436815918081928</v>
      </c>
      <c r="AJ20" s="8">
        <f>-1*((RawData!AJ19-AVERAGE(RawData!$AJ$3:$AJ$40))/STDEV(RawData!$AJ$3:$AJ$40))</f>
        <v>-0.98675438206593025</v>
      </c>
      <c r="AK20" s="8">
        <f>-1*((RawData!AK19-AVERAGE(RawData!$AK$3:$AK$40))/STDEV(RawData!$AK$3:$AK$40))</f>
        <v>1.5544045891239269</v>
      </c>
      <c r="AL20" s="8">
        <f>-1*((RawData!AL19-AVERAGE(RawData!$AL$3:$AL$40))/STDEV(RawData!$AL$3:$AL$40))</f>
        <v>-1.5120709003105757E-2</v>
      </c>
      <c r="AM20" s="8">
        <f>-1*((RawData!AM19-AVERAGE(RawData!$AM$3:$AM$40))/STDEV(RawData!$AM$3:$AM$40))</f>
        <v>-0.24215867793331902</v>
      </c>
      <c r="AN20" s="8">
        <f>((RawData!AN19-AVERAGE(RawData!$AN$3:$AN$40))/STDEV(RawData!$AN$3:$AN$40))</f>
        <v>-0.67206915207582485</v>
      </c>
      <c r="AO20" s="8">
        <f>-1*((RawData!AO19-AVERAGE(RawData!$AO$3:$AO$40))/STDEV(RawData!$AO$3:$AO$40))</f>
        <v>0.61642057643857884</v>
      </c>
      <c r="AP20" s="8">
        <f>-1*((RawData!AP19-AVERAGE(RawData!$AP$3:$AP$40))/STDEV(RawData!$AP$3:$AP$40))</f>
        <v>-0.48376742656450294</v>
      </c>
      <c r="AQ20" s="8">
        <f>-1*((RawData!AQ19-AVERAGE(RawData!$AQ$3:$AQ$40))/STDEV(RawData!$AQ$3:$AQ$40))</f>
        <v>-0.6827406491476623</v>
      </c>
    </row>
    <row r="21" spans="1:43" x14ac:dyDescent="0.3">
      <c r="A21" s="6" t="str">
        <f>RawData!A20</f>
        <v>Hungary</v>
      </c>
      <c r="B21" s="8">
        <f>-1*((RawData!B20-AVERAGE(RawData!$B$3:$B$40))/STDEV(RawData!$B$3:$B$40))</f>
        <v>2.7855855625131198</v>
      </c>
      <c r="C21" s="8">
        <f>((RawData!C20-AVERAGE(RawData!$C$3:$C$40))/STDEV(RawData!$C$3:$C$40))</f>
        <v>-0.24662997877514239</v>
      </c>
      <c r="D21" s="8">
        <f>((RawData!D20-AVERAGE(RawData!$D$3:$D$40))/STDEV(RawData!$D$3:$D$40))</f>
        <v>-1.1228452757931506</v>
      </c>
      <c r="E21" s="8">
        <f>((RawData!E20-AVERAGE(RawData!$E$3:$E$40))/STDEV(RawData!$E$3:$E$40))</f>
        <v>-0.49948049539141548</v>
      </c>
      <c r="F21" s="8">
        <f>((RawData!F20-AVERAGE(RawData!$F$3:$F$40))/STDEV(RawData!$F$3:$F$40))</f>
        <v>-1.1366879400335128</v>
      </c>
      <c r="G21" s="8">
        <f>((RawData!G20-AVERAGE(RawData!$G$3:$G$40))/STDEV(RawData!$G$3:$G$40))</f>
        <v>-0.16428036293842818</v>
      </c>
      <c r="H21" s="8">
        <f>((RawData!H20-AVERAGE(RawData!$H$3:$H$40))/STDEV(RawData!$H$3:$H$40))</f>
        <v>-0.26625610322561188</v>
      </c>
      <c r="I21" s="8">
        <f>((RawData!I20-AVERAGE(RawData!$I$3:$I$40))/STDEV(RawData!$I$3:$I$40))</f>
        <v>-0.38409362229254129</v>
      </c>
      <c r="J21" s="8">
        <f>-1*((RawData!J20-AVERAGE(RawData!$J$3:$J$40))/STDEV(RawData!$J$3:$J$40))</f>
        <v>-1.0401304461601153</v>
      </c>
      <c r="K21" s="8">
        <f>-1*((RawData!K20-AVERAGE(RawData!$K$3:$K$40))/STDEV(RawData!$K$3:$K$40))</f>
        <v>-4.4922978362188414E-2</v>
      </c>
      <c r="L21" s="8">
        <f>-1*((RawData!L20-AVERAGE(RawData!$L$3:$L$40))/STDEV(RawData!$L$3:$L$40))</f>
        <v>-1.4524631227012332</v>
      </c>
      <c r="M21" s="8">
        <f>-1*((RawData!M20-AVERAGE(RawData!$M$3:$M$40))/STDEV(RawData!$M$3:$M$40))</f>
        <v>0.6210629669356641</v>
      </c>
      <c r="N21" s="8">
        <f>-1*((RawData!N20-AVERAGE(RawData!$N$3:$N$40))/STDEV(RawData!$N$3:$N$40))</f>
        <v>0.33845396081495521</v>
      </c>
      <c r="O21" s="8">
        <f>-1*((AbsValues!B20-AVERAGE(AbsValues!$B$3:$B$40))/STDEV(AbsValues!$B$3:$B$40))</f>
        <v>0.35436358778071264</v>
      </c>
      <c r="P21" s="8">
        <f>-1*((RawData!P20-AVERAGE(RawData!$P$3:$P$40))/STDEV(RawData!$P$3:$P$40))</f>
        <v>1.3607064410042189</v>
      </c>
      <c r="Q21" s="8">
        <f>-1*((RawData!Q20-AVERAGE(RawData!$Q$3:$Q$40))/STDEV(RawData!$Q$3:$Q$40))</f>
        <v>0.75573245963701652</v>
      </c>
      <c r="R21" s="8">
        <f>-1*((RawData!R20-AVERAGE(RawData!$R$3:$R$40))/STDEV(RawData!$R$3:$R$40))</f>
        <v>0.91525690122112302</v>
      </c>
      <c r="S21" s="8">
        <f>-1*((RawData!S20-AVERAGE(RawData!$S$3:$S$40))/STDEV(RawData!$S$3:$S$40))</f>
        <v>0.33845396081495521</v>
      </c>
      <c r="T21" s="8">
        <f>-1*((AbsValues!C20-AVERAGE(AbsValues!$C$3:$C$40))/STDEV(AbsValues!$C$3:$C$40))</f>
        <v>0.32073762283238327</v>
      </c>
      <c r="U21" s="8">
        <f>-1*((RawData!U20-AVERAGE(RawData!$U$3:$U$40))/STDEV(RawData!$U$3:$U$40))</f>
        <v>0.37657580698047888</v>
      </c>
      <c r="V21" s="8">
        <f>-1*((RawData!V20-AVERAGE(RawData!$V$3:$V$40))/STDEV(RawData!$V$3:$V$40))</f>
        <v>0.850828252697586</v>
      </c>
      <c r="W21" s="8">
        <f>-1*((RawData!W20-AVERAGE(RawData!$W$3:$W$40))/STDEV(RawData!$W$3:$W$40))</f>
        <v>-1.4713871698941683</v>
      </c>
      <c r="X21" s="8">
        <f>-1*((RawData!X20-AVERAGE(RawData!$X$3:$X$40))/STDEV(RawData!$X$3:$X$40))</f>
        <v>-0.9159650460813884</v>
      </c>
      <c r="Y21" s="8">
        <f>((RawData!Y20-AVERAGE(RawData!$Y$3:$Y$40))/STDEV(RawData!$Y$3:$Y$40))</f>
        <v>0.10239424729748488</v>
      </c>
      <c r="Z21" s="8">
        <f>((RawData!Z20-AVERAGE(RawData!$Z$3:$Z$40))/STDEV(RawData!$Z$3:$Z$40))</f>
        <v>0.18465614162816085</v>
      </c>
      <c r="AA21" s="8">
        <f>-1*((RawData!AA20-AVERAGE(RawData!$AA$3:$AA$40))/STDEV(RawData!$AA$3:$AA$40))</f>
        <v>0.72317162841197902</v>
      </c>
      <c r="AB21" s="8">
        <f>-1*((RawData!AB20-AVERAGE(RawData!$AB$3:$AB$40))/STDEV(RawData!$AB$3:$AB$40))</f>
        <v>0.4427560587692117</v>
      </c>
      <c r="AC21" s="8">
        <f>-1*((RawData!AC20-AVERAGE(RawData!$AC$3:$AC$40))/STDEV(RawData!$AC$3:$AC$40))</f>
        <v>-0.6703675950928768</v>
      </c>
      <c r="AD21" s="8">
        <f>-1*((RawData!AD20-AVERAGE(RawData!$AD$3:$AD$40))/STDEV(RawData!$AD$3:$AD$40))</f>
        <v>-0.42727718108235579</v>
      </c>
      <c r="AE21" s="8">
        <f>-1*((RawData!AE20-AVERAGE(RawData!$AE$3:$AE$40))/STDEV(RawData!$AE$3:$AE$40))</f>
        <v>-0.93611740154410361</v>
      </c>
      <c r="AF21" s="8">
        <f>-1*((RawData!AF20-AVERAGE(RawData!$AF$3:$AF$40))/STDEV(RawData!$AF$3:$AF$40))</f>
        <v>0.58969853391564031</v>
      </c>
      <c r="AG21" s="8">
        <f>-1*((RawData!AG20-AVERAGE(RawData!$AG$3:$AG$40))/STDEV(RawData!$AG$3:$AG$40))</f>
        <v>-1.2218766124860361</v>
      </c>
      <c r="AH21" s="8">
        <f>((RawData!AH20-AVERAGE(RawData!$AH$3:$AH$40))/STDEV(RawData!$AH$3:$AH$40))</f>
        <v>0.32819244752489102</v>
      </c>
      <c r="AI21" s="8">
        <f>((RawData!AI20-AVERAGE(RawData!$AI$3:$AI$40))/STDEV(RawData!$AI$3:$AI$40))</f>
        <v>0.55436815918081928</v>
      </c>
      <c r="AJ21" s="8">
        <f>-1*((RawData!AJ20-AVERAGE(RawData!$AJ$3:$AJ$40))/STDEV(RawData!$AJ$3:$AJ$40))</f>
        <v>0.98675438206593025</v>
      </c>
      <c r="AK21" s="8">
        <f>-1*((RawData!AK20-AVERAGE(RawData!$AK$3:$AK$40))/STDEV(RawData!$AK$3:$AK$40))</f>
        <v>2.0564263162056569</v>
      </c>
      <c r="AL21" s="8">
        <f>-1*((RawData!AL20-AVERAGE(RawData!$AL$3:$AL$40))/STDEV(RawData!$AL$3:$AL$40))</f>
        <v>1.2947279432416416</v>
      </c>
      <c r="AM21" s="8">
        <f>-1*((RawData!AM20-AVERAGE(RawData!$AM$3:$AM$40))/STDEV(RawData!$AM$3:$AM$40))</f>
        <v>1.7746140493618718</v>
      </c>
      <c r="AN21" s="8">
        <f>((RawData!AN20-AVERAGE(RawData!$AN$3:$AN$40))/STDEV(RawData!$AN$3:$AN$40))</f>
        <v>0.26685098685363651</v>
      </c>
      <c r="AO21" s="8">
        <f>-1*((RawData!AO20-AVERAGE(RawData!$AO$3:$AO$40))/STDEV(RawData!$AO$3:$AO$40))</f>
        <v>0.61642057643857884</v>
      </c>
      <c r="AP21" s="8">
        <f>-1*((RawData!AP20-AVERAGE(RawData!$AP$3:$AP$40))/STDEV(RawData!$AP$3:$AP$40))</f>
        <v>-0.48376742656450294</v>
      </c>
      <c r="AQ21" s="8">
        <f>-1*((RawData!AQ20-AVERAGE(RawData!$AQ$3:$AQ$40))/STDEV(RawData!$AQ$3:$AQ$40))</f>
        <v>-0.6827406491476623</v>
      </c>
    </row>
    <row r="22" spans="1:43" x14ac:dyDescent="0.3">
      <c r="A22" s="6" t="str">
        <f>RawData!A21</f>
        <v>Ireland</v>
      </c>
      <c r="B22" s="8">
        <f>-1*((RawData!B21-AVERAGE(RawData!$B$3:$B$40))/STDEV(RawData!$B$3:$B$40))</f>
        <v>2.1441313515946163</v>
      </c>
      <c r="C22" s="8">
        <f>((RawData!C21-AVERAGE(RawData!$C$3:$C$40))/STDEV(RawData!$C$3:$C$40))</f>
        <v>-0.20231820953894661</v>
      </c>
      <c r="D22" s="8">
        <f>((RawData!D21-AVERAGE(RawData!$D$3:$D$40))/STDEV(RawData!$D$3:$D$40))</f>
        <v>1.3509999041275362</v>
      </c>
      <c r="E22" s="8">
        <f>((RawData!E21-AVERAGE(RawData!$E$3:$E$40))/STDEV(RawData!$E$3:$E$40))</f>
        <v>-0.85792032336991453</v>
      </c>
      <c r="F22" s="8">
        <f>((RawData!F21-AVERAGE(RawData!$F$3:$F$40))/STDEV(RawData!$F$3:$F$40))</f>
        <v>-0.10047077899988448</v>
      </c>
      <c r="G22" s="8">
        <f>((RawData!G21-AVERAGE(RawData!$G$3:$G$40))/STDEV(RawData!$G$3:$G$40))</f>
        <v>-0.68211670099424682</v>
      </c>
      <c r="H22" s="8">
        <f>((RawData!H21-AVERAGE(RawData!$H$3:$H$40))/STDEV(RawData!$H$3:$H$40))</f>
        <v>-1.7116463778789344</v>
      </c>
      <c r="I22" s="8">
        <f>((RawData!I21-AVERAGE(RawData!$I$3:$I$40))/STDEV(RawData!$I$3:$I$40))</f>
        <v>-0.38409362229254129</v>
      </c>
      <c r="J22" s="8">
        <f>-1*((RawData!J21-AVERAGE(RawData!$J$3:$J$40))/STDEV(RawData!$J$3:$J$40))</f>
        <v>-1.0401304461601153</v>
      </c>
      <c r="K22" s="8">
        <f>-1*((RawData!K21-AVERAGE(RawData!$K$3:$K$40))/STDEV(RawData!$K$3:$K$40))</f>
        <v>-0.96411622792695995</v>
      </c>
      <c r="L22" s="8">
        <f>-1*((RawData!L21-AVERAGE(RawData!$L$3:$L$40))/STDEV(RawData!$L$3:$L$40))</f>
        <v>0.6703675950928768</v>
      </c>
      <c r="M22" s="8">
        <f>-1*((RawData!M21-AVERAGE(RawData!$M$3:$M$40))/STDEV(RawData!$M$3:$M$40))</f>
        <v>-9.4100449535706648E-2</v>
      </c>
      <c r="N22" s="8">
        <f>-1*((RawData!N21-AVERAGE(RawData!$N$3:$N$40))/STDEV(RawData!$N$3:$N$40))</f>
        <v>0.33845396081495521</v>
      </c>
      <c r="O22" s="8">
        <f>-1*((AbsValues!B21-AVERAGE(AbsValues!$B$3:$B$40))/STDEV(AbsValues!$B$3:$B$40))</f>
        <v>0.59391264411659439</v>
      </c>
      <c r="P22" s="8">
        <f>-1*((RawData!P21-AVERAGE(RawData!$P$3:$P$40))/STDEV(RawData!$P$3:$P$40))</f>
        <v>-0.63264325148279954</v>
      </c>
      <c r="Q22" s="8">
        <f>-1*((RawData!Q21-AVERAGE(RawData!$Q$3:$Q$40))/STDEV(RawData!$Q$3:$Q$40))</f>
        <v>0.6392995520497764</v>
      </c>
      <c r="R22" s="8">
        <f>-1*((RawData!R21-AVERAGE(RawData!$R$3:$R$40))/STDEV(RawData!$R$3:$R$40))</f>
        <v>-1.2462127257266775</v>
      </c>
      <c r="S22" s="8">
        <f>-1*((RawData!S21-AVERAGE(RawData!$S$3:$S$40))/STDEV(RawData!$S$3:$S$40))</f>
        <v>0.33845396081495521</v>
      </c>
      <c r="T22" s="8">
        <f>-1*((AbsValues!C21-AVERAGE(AbsValues!$C$3:$C$40))/STDEV(AbsValues!$C$3:$C$40))</f>
        <v>0.32073762283238327</v>
      </c>
      <c r="U22" s="8">
        <f>-1*((RawData!U21-AVERAGE(RawData!$U$3:$U$40))/STDEV(RawData!$U$3:$U$40))</f>
        <v>-0.98475737823514198</v>
      </c>
      <c r="V22" s="8">
        <f>-1*((RawData!V21-AVERAGE(RawData!$V$3:$V$40))/STDEV(RawData!$V$3:$V$40))</f>
        <v>-2.2991449574321758</v>
      </c>
      <c r="W22" s="8">
        <f>-1*((RawData!W21-AVERAGE(RawData!$W$3:$W$40))/STDEV(RawData!$W$3:$W$40))</f>
        <v>-0.70176965501490629</v>
      </c>
      <c r="X22" s="8">
        <f>-1*((RawData!X21-AVERAGE(RawData!$X$3:$X$40))/STDEV(RawData!$X$3:$X$40))</f>
        <v>-1.1599376369449323</v>
      </c>
      <c r="Y22" s="8">
        <f>((RawData!Y21-AVERAGE(RawData!$Y$3:$Y$40))/STDEV(RawData!$Y$3:$Y$40))</f>
        <v>-0.64672301137478838</v>
      </c>
      <c r="Z22" s="8">
        <f>((RawData!Z21-AVERAGE(RawData!$Z$3:$Z$40))/STDEV(RawData!$Z$3:$Z$40))</f>
        <v>0.18465614162816085</v>
      </c>
      <c r="AA22" s="8">
        <f>-1*((RawData!AA21-AVERAGE(RawData!$AA$3:$AA$40))/STDEV(RawData!$AA$3:$AA$40))</f>
        <v>0.17686214880801535</v>
      </c>
      <c r="AB22" s="8">
        <f>-1*((RawData!AB21-AVERAGE(RawData!$AB$3:$AB$40))/STDEV(RawData!$AB$3:$AB$40))</f>
        <v>0.4427560587692117</v>
      </c>
      <c r="AC22" s="8">
        <f>-1*((RawData!AC21-AVERAGE(RawData!$AC$3:$AC$40))/STDEV(RawData!$AC$3:$AC$40))</f>
        <v>-0.6703675950928768</v>
      </c>
      <c r="AD22" s="8">
        <f>-1*((RawData!AD21-AVERAGE(RawData!$AD$3:$AD$40))/STDEV(RawData!$AD$3:$AD$40))</f>
        <v>-0.42727718108235579</v>
      </c>
      <c r="AE22" s="8">
        <f>-1*((RawData!AE21-AVERAGE(RawData!$AE$3:$AE$40))/STDEV(RawData!$AE$3:$AE$40))</f>
        <v>1.0401304461601151</v>
      </c>
      <c r="AF22" s="8">
        <f>-1*((RawData!AF21-AVERAGE(RawData!$AF$3:$AF$40))/STDEV(RawData!$AF$3:$AF$40))</f>
        <v>0.58969853391564031</v>
      </c>
      <c r="AG22" s="8">
        <f>-1*((RawData!AG21-AVERAGE(RawData!$AG$3:$AG$40))/STDEV(RawData!$AG$3:$AG$40))</f>
        <v>-1.2218766124860361</v>
      </c>
      <c r="AH22" s="8">
        <f>((RawData!AH21-AVERAGE(RawData!$AH$3:$AH$40))/STDEV(RawData!$AH$3:$AH$40))</f>
        <v>0.32819244752489102</v>
      </c>
      <c r="AI22" s="8">
        <f>((RawData!AI21-AVERAGE(RawData!$AI$3:$AI$40))/STDEV(RawData!$AI$3:$AI$40))</f>
        <v>0.55436815918081928</v>
      </c>
      <c r="AJ22" s="8">
        <f>-1*((RawData!AJ21-AVERAGE(RawData!$AJ$3:$AJ$40))/STDEV(RawData!$AJ$3:$AJ$40))</f>
        <v>-0.98675438206593025</v>
      </c>
      <c r="AK22" s="8">
        <f>-1*((RawData!AK21-AVERAGE(RawData!$AK$3:$AK$40))/STDEV(RawData!$AK$3:$AK$40))</f>
        <v>-0.45368231920299124</v>
      </c>
      <c r="AL22" s="8">
        <f>-1*((RawData!AL21-AVERAGE(RawData!$AL$3:$AL$40))/STDEV(RawData!$AL$3:$AL$40))</f>
        <v>-0.45173692641802171</v>
      </c>
      <c r="AM22" s="8">
        <f>-1*((RawData!AM21-AVERAGE(RawData!$AM$3:$AM$40))/STDEV(RawData!$AM$3:$AM$40))</f>
        <v>-0.24215867793331902</v>
      </c>
      <c r="AN22" s="8">
        <f>((RawData!AN21-AVERAGE(RawData!$AN$3:$AN$40))/STDEV(RawData!$AN$3:$AN$40))</f>
        <v>-7.11602631609696E-2</v>
      </c>
      <c r="AO22" s="8">
        <f>-1*((RawData!AO21-AVERAGE(RawData!$AO$3:$AO$40))/STDEV(RawData!$AO$3:$AO$40))</f>
        <v>0.61642057643857884</v>
      </c>
      <c r="AP22" s="8">
        <f>-1*((RawData!AP21-AVERAGE(RawData!$AP$3:$AP$40))/STDEV(RawData!$AP$3:$AP$40))</f>
        <v>-0.48376742656450294</v>
      </c>
      <c r="AQ22" s="8">
        <f>-1*((RawData!AQ21-AVERAGE(RawData!$AQ$3:$AQ$40))/STDEV(RawData!$AQ$3:$AQ$40))</f>
        <v>-0.6827406491476623</v>
      </c>
    </row>
    <row r="23" spans="1:43" x14ac:dyDescent="0.3">
      <c r="A23" s="6" t="str">
        <f>RawData!A22</f>
        <v>Israel</v>
      </c>
      <c r="B23" s="8">
        <f>-1*((RawData!B22-AVERAGE(RawData!$B$3:$B$40))/STDEV(RawData!$B$3:$B$40))</f>
        <v>0.21976871883910504</v>
      </c>
      <c r="C23" s="8">
        <f>((RawData!C22-AVERAGE(RawData!$C$3:$C$40))/STDEV(RawData!$C$3:$C$40))</f>
        <v>-0.24662997877514239</v>
      </c>
      <c r="D23" s="8">
        <f>((RawData!D22-AVERAGE(RawData!$D$3:$D$40))/STDEV(RawData!$D$3:$D$40))</f>
        <v>1.3509999041275362</v>
      </c>
      <c r="E23" s="8">
        <f>((RawData!E22-AVERAGE(RawData!$E$3:$E$40))/STDEV(RawData!$E$3:$E$40))</f>
        <v>0.54450557631859975</v>
      </c>
      <c r="F23" s="8">
        <f>((RawData!F22-AVERAGE(RawData!$F$3:$F$40))/STDEV(RawData!$F$3:$F$40))</f>
        <v>-0.1028158202286749</v>
      </c>
      <c r="G23" s="8">
        <f>((RawData!G22-AVERAGE(RawData!$G$3:$G$40))/STDEV(RawData!$G$3:$G$40))</f>
        <v>0.38665909197872139</v>
      </c>
      <c r="H23" s="8">
        <f>((RawData!H22-AVERAGE(RawData!$H$3:$H$40))/STDEV(RawData!$H$3:$H$40))</f>
        <v>-0.26625610322561188</v>
      </c>
      <c r="I23" s="8">
        <f>((RawData!I22-AVERAGE(RawData!$I$3:$I$40))/STDEV(RawData!$I$3:$I$40))</f>
        <v>-0.38409362229254129</v>
      </c>
      <c r="J23" s="8">
        <f>-1*((RawData!J22-AVERAGE(RawData!$J$3:$J$40))/STDEV(RawData!$J$3:$J$40))</f>
        <v>-1.0401304461601153</v>
      </c>
      <c r="K23" s="8">
        <f>-1*((RawData!K22-AVERAGE(RawData!$K$3:$K$40))/STDEV(RawData!$K$3:$K$40))</f>
        <v>1.4870657709124309</v>
      </c>
      <c r="L23" s="8">
        <f>-1*((RawData!L22-AVERAGE(RawData!$L$3:$L$40))/STDEV(RawData!$L$3:$L$40))</f>
        <v>0.6703675950928768</v>
      </c>
      <c r="M23" s="8">
        <f>-1*((RawData!M22-AVERAGE(RawData!$M$3:$M$40))/STDEV(RawData!$M$3:$M$40))</f>
        <v>1.3362263834070349</v>
      </c>
      <c r="N23" s="8">
        <f>-1*((RawData!N22-AVERAGE(RawData!$N$3:$N$40))/STDEV(RawData!$N$3:$N$40))</f>
        <v>0.33845396081495521</v>
      </c>
      <c r="O23" s="8">
        <f>-1*((AbsValues!B22-AVERAGE(AbsValues!$B$3:$B$40))/STDEV(AbsValues!$B$3:$B$40))</f>
        <v>-1.4965901294807269</v>
      </c>
      <c r="P23" s="8">
        <f>-1*((RawData!P22-AVERAGE(RawData!$P$3:$P$40))/STDEV(RawData!$P$3:$P$40))</f>
        <v>-0.41474672639312549</v>
      </c>
      <c r="Q23" s="8">
        <f>-1*((RawData!Q22-AVERAGE(RawData!$Q$3:$Q$40))/STDEV(RawData!$Q$3:$Q$40))</f>
        <v>0.3646205974277027</v>
      </c>
      <c r="R23" s="8">
        <f>-1*((RawData!R22-AVERAGE(RawData!$R$3:$R$40))/STDEV(RawData!$R$3:$R$40))</f>
        <v>-2.1853153400492431</v>
      </c>
      <c r="S23" s="8">
        <f>-1*((RawData!S22-AVERAGE(RawData!$S$3:$S$40))/STDEV(RawData!$S$3:$S$40))</f>
        <v>0.33845396081495521</v>
      </c>
      <c r="T23" s="8">
        <f>-1*((AbsValues!C22-AVERAGE(AbsValues!$C$3:$C$40))/STDEV(AbsValues!$C$3:$C$40))</f>
        <v>0.32073762283238327</v>
      </c>
      <c r="U23" s="8">
        <f>-1*((RawData!U22-AVERAGE(RawData!$U$3:$U$40))/STDEV(RawData!$U$3:$U$40))</f>
        <v>-0.7578685140325383</v>
      </c>
      <c r="V23" s="8">
        <f>-1*((RawData!V22-AVERAGE(RawData!$V$3:$V$40))/STDEV(RawData!$V$3:$V$40))</f>
        <v>-0.89915686404117035</v>
      </c>
      <c r="W23" s="8">
        <f>-1*((RawData!W22-AVERAGE(RawData!$W$3:$W$40))/STDEV(RawData!$W$3:$W$40))</f>
        <v>0.26025223858417124</v>
      </c>
      <c r="X23" s="8">
        <f>-1*((RawData!X22-AVERAGE(RawData!$X$3:$X$40))/STDEV(RawData!$X$3:$X$40))</f>
        <v>0.46607446076025005</v>
      </c>
      <c r="Y23" s="8">
        <f>((RawData!Y22-AVERAGE(RawData!$Y$3:$Y$40))/STDEV(RawData!$Y$3:$Y$40))</f>
        <v>0.33006381012581859</v>
      </c>
      <c r="Z23" s="8">
        <f>((RawData!Z22-AVERAGE(RawData!$Z$3:$Z$40))/STDEV(RawData!$Z$3:$Z$40))</f>
        <v>0.18465614162816085</v>
      </c>
      <c r="AA23" s="8">
        <f>-1*((RawData!AA22-AVERAGE(RawData!$AA$3:$AA$40))/STDEV(RawData!$AA$3:$AA$40))</f>
        <v>0.10088692352538871</v>
      </c>
      <c r="AB23" s="8">
        <f>-1*((RawData!AB22-AVERAGE(RawData!$AB$3:$AB$40))/STDEV(RawData!$AB$3:$AB$40))</f>
        <v>0.4427560587692117</v>
      </c>
      <c r="AC23" s="8">
        <f>-1*((RawData!AC22-AVERAGE(RawData!$AC$3:$AC$40))/STDEV(RawData!$AC$3:$AC$40))</f>
        <v>1.4524631227012332</v>
      </c>
      <c r="AD23" s="8">
        <f>-1*((RawData!AD22-AVERAGE(RawData!$AD$3:$AD$40))/STDEV(RawData!$AD$3:$AD$40))</f>
        <v>-0.42727718108235579</v>
      </c>
      <c r="AE23" s="8">
        <f>-1*((RawData!AE22-AVERAGE(RawData!$AE$3:$AE$40))/STDEV(RawData!$AE$3:$AE$40))</f>
        <v>1.0401304461601151</v>
      </c>
      <c r="AF23" s="8">
        <f>-1*((RawData!AF22-AVERAGE(RawData!$AF$3:$AF$40))/STDEV(RawData!$AF$3:$AF$40))</f>
        <v>0.58969853391564031</v>
      </c>
      <c r="AG23" s="8">
        <f>-1*((RawData!AG22-AVERAGE(RawData!$AG$3:$AG$40))/STDEV(RawData!$AG$3:$AG$40))</f>
        <v>0.79687605162132791</v>
      </c>
      <c r="AH23" s="8">
        <f>((RawData!AH22-AVERAGE(RawData!$AH$3:$AH$40))/STDEV(RawData!$AH$3:$AH$40))</f>
        <v>0.32819244752489102</v>
      </c>
      <c r="AI23" s="8">
        <f>((RawData!AI22-AVERAGE(RawData!$AI$3:$AI$40))/STDEV(RawData!$AI$3:$AI$40))</f>
        <v>0.55436815918081928</v>
      </c>
      <c r="AJ23" s="8">
        <f>-1*((RawData!AJ22-AVERAGE(RawData!$AJ$3:$AJ$40))/STDEV(RawData!$AJ$3:$AJ$40))</f>
        <v>0.98675438206593025</v>
      </c>
      <c r="AK23" s="8">
        <f>-1*((RawData!AK22-AVERAGE(RawData!$AK$3:$AK$40))/STDEV(RawData!$AK$3:$AK$40))</f>
        <v>-0.95570404628472072</v>
      </c>
      <c r="AL23" s="8">
        <f>-1*((RawData!AL22-AVERAGE(RawData!$AL$3:$AL$40))/STDEV(RawData!$AL$3:$AL$40))</f>
        <v>-0.7137066568669711</v>
      </c>
      <c r="AM23" s="8">
        <f>-1*((RawData!AM22-AVERAGE(RawData!$AM$3:$AM$40))/STDEV(RawData!$AM$3:$AM$40))</f>
        <v>-0.54467458702759763</v>
      </c>
      <c r="AN23" s="8">
        <f>((RawData!AN22-AVERAGE(RawData!$AN$3:$AN$40))/STDEV(RawData!$AN$3:$AN$40))</f>
        <v>-0.59695554096146797</v>
      </c>
      <c r="AO23" s="8">
        <f>-1*((RawData!AO22-AVERAGE(RawData!$AO$3:$AO$40))/STDEV(RawData!$AO$3:$AO$40))</f>
        <v>0.61642057643857884</v>
      </c>
      <c r="AP23" s="8">
        <f>-1*((RawData!AP22-AVERAGE(RawData!$AP$3:$AP$40))/STDEV(RawData!$AP$3:$AP$40))</f>
        <v>3.6013797310912983</v>
      </c>
      <c r="AQ23" s="8">
        <f>-1*((RawData!AQ22-AVERAGE(RawData!$AQ$3:$AQ$40))/STDEV(RawData!$AQ$3:$AQ$40))</f>
        <v>1.5732719306446126</v>
      </c>
    </row>
    <row r="24" spans="1:43" x14ac:dyDescent="0.3">
      <c r="A24" s="6" t="str">
        <f>RawData!A23</f>
        <v>Iceland</v>
      </c>
      <c r="B24" s="8">
        <f>-1*((RawData!B23-AVERAGE(RawData!$B$3:$B$40))/STDEV(RawData!$B$3:$B$40))</f>
        <v>0.76958661391210814</v>
      </c>
      <c r="C24" s="8">
        <f>((RawData!C23-AVERAGE(RawData!$C$3:$C$40))/STDEV(RawData!$C$3:$C$40))</f>
        <v>-0.24662997877514239</v>
      </c>
      <c r="D24" s="8">
        <f>((RawData!D23-AVERAGE(RawData!$D$3:$D$40))/STDEV(RawData!$D$3:$D$40))</f>
        <v>-0.93254949272232857</v>
      </c>
      <c r="E24" s="8">
        <f>((RawData!E23-AVERAGE(RawData!$E$3:$E$40))/STDEV(RawData!$E$3:$E$40))</f>
        <v>3.9555029870717927E-2</v>
      </c>
      <c r="F24" s="8">
        <f>((RawData!F23-AVERAGE(RawData!$F$3:$F$40))/STDEV(RawData!$F$3:$F$40))</f>
        <v>0.53583777356278095</v>
      </c>
      <c r="G24" s="8">
        <f>((RawData!G23-AVERAGE(RawData!$G$3:$G$40))/STDEV(RawData!$G$3:$G$40))</f>
        <v>0.25609626560976934</v>
      </c>
      <c r="H24" s="8">
        <f>((RawData!H23-AVERAGE(RawData!$H$3:$H$40))/STDEV(RawData!$H$3:$H$40))</f>
        <v>-0.26625610322561188</v>
      </c>
      <c r="I24" s="8">
        <f>((RawData!I23-AVERAGE(RawData!$I$3:$I$40))/STDEV(RawData!$I$3:$I$40))</f>
        <v>-0.38409362229254129</v>
      </c>
      <c r="J24" s="8">
        <f>-1*((RawData!J23-AVERAGE(RawData!$J$3:$J$40))/STDEV(RawData!$J$3:$J$40))</f>
        <v>0.9361174015441035</v>
      </c>
      <c r="K24" s="8">
        <f>-1*((RawData!K23-AVERAGE(RawData!$K$3:$K$40))/STDEV(RawData!$K$3:$K$40))</f>
        <v>-1.7957672632474673</v>
      </c>
      <c r="L24" s="8">
        <f>-1*((RawData!L23-AVERAGE(RawData!$L$3:$L$40))/STDEV(RawData!$L$3:$L$40))</f>
        <v>0.6703675950928768</v>
      </c>
      <c r="M24" s="8">
        <f>-1*((RawData!M23-AVERAGE(RawData!$M$3:$M$40))/STDEV(RawData!$M$3:$M$40))</f>
        <v>0.6210629669356641</v>
      </c>
      <c r="N24" s="8">
        <f>-1*((RawData!N23-AVERAGE(RawData!$N$3:$N$40))/STDEV(RawData!$N$3:$N$40))</f>
        <v>0.33845396081495521</v>
      </c>
      <c r="O24" s="8">
        <f>-1*((AbsValues!B23-AVERAGE(AbsValues!$B$3:$B$40))/STDEV(AbsValues!$B$3:$B$40))</f>
        <v>-2.5289781151947901</v>
      </c>
      <c r="P24" s="8">
        <f>-1*((RawData!P23-AVERAGE(RawData!$P$3:$P$40))/STDEV(RawData!$P$3:$P$40))</f>
        <v>-1.4462739561724039E-2</v>
      </c>
      <c r="Q24" s="8">
        <f>-1*((RawData!Q23-AVERAGE(RawData!$Q$3:$Q$40))/STDEV(RawData!$Q$3:$Q$40))</f>
        <v>0.61436244878271451</v>
      </c>
      <c r="R24" s="8">
        <f>-1*((RawData!R23-AVERAGE(RawData!$R$3:$R$40))/STDEV(RawData!$R$3:$R$40))</f>
        <v>-0.42922996565058191</v>
      </c>
      <c r="S24" s="8">
        <f>-1*((RawData!S23-AVERAGE(RawData!$S$3:$S$40))/STDEV(RawData!$S$3:$S$40))</f>
        <v>0.33845396081495521</v>
      </c>
      <c r="T24" s="8">
        <f>-1*((AbsValues!C23-AVERAGE(AbsValues!$C$3:$C$40))/STDEV(AbsValues!$C$3:$C$40))</f>
        <v>-1.2435259106273477</v>
      </c>
      <c r="U24" s="8">
        <f>-1*((RawData!U23-AVERAGE(RawData!$U$3:$U$40))/STDEV(RawData!$U$3:$U$40))</f>
        <v>-0.15283154282559588</v>
      </c>
      <c r="V24" s="8">
        <f>-1*((RawData!V23-AVERAGE(RawData!$V$3:$V$40))/STDEV(RawData!$V$3:$V$40))</f>
        <v>0.23833346183902113</v>
      </c>
      <c r="W24" s="8">
        <f>-1*((RawData!W23-AVERAGE(RawData!$W$3:$W$40))/STDEV(RawData!$W$3:$W$40))</f>
        <v>-0.89417403373472171</v>
      </c>
      <c r="X24" s="8">
        <f>-1*((RawData!X23-AVERAGE(RawData!$X$3:$X$40))/STDEV(RawData!$X$3:$X$40))</f>
        <v>0.86938300078463748</v>
      </c>
      <c r="Y24" s="8">
        <f>((RawData!Y23-AVERAGE(RawData!$Y$3:$Y$40))/STDEV(RawData!$Y$3:$Y$40))</f>
        <v>-0.23304965092670987</v>
      </c>
      <c r="Z24" s="8">
        <f>((RawData!Z23-AVERAGE(RawData!$Z$3:$Z$40))/STDEV(RawData!$Z$3:$Z$40))</f>
        <v>-2.1543216523285427</v>
      </c>
      <c r="AA24" s="8">
        <f>-1*((RawData!AA23-AVERAGE(RawData!$AA$3:$AA$40))/STDEV(RawData!$AA$3:$AA$40))</f>
        <v>0.70752354481251201</v>
      </c>
      <c r="AB24" s="8">
        <f>-1*((RawData!AB23-AVERAGE(RawData!$AB$3:$AB$40))/STDEV(RawData!$AB$3:$AB$40))</f>
        <v>0.4427560587692117</v>
      </c>
      <c r="AC24" s="8">
        <f>-1*((RawData!AC23-AVERAGE(RawData!$AC$3:$AC$40))/STDEV(RawData!$AC$3:$AC$40))</f>
        <v>-0.6703675950928768</v>
      </c>
      <c r="AD24" s="8">
        <f>-1*((RawData!AD23-AVERAGE(RawData!$AD$3:$AD$40))/STDEV(RawData!$AD$3:$AD$40))</f>
        <v>-0.42727718108235579</v>
      </c>
      <c r="AE24" s="8">
        <f>-1*((RawData!AE23-AVERAGE(RawData!$AE$3:$AE$40))/STDEV(RawData!$AE$3:$AE$40))</f>
        <v>-0.93611740154410361</v>
      </c>
      <c r="AF24" s="8">
        <f>-1*((RawData!AF23-AVERAGE(RawData!$AF$3:$AF$40))/STDEV(RawData!$AF$3:$AF$40))</f>
        <v>0.58969853391564031</v>
      </c>
      <c r="AG24" s="8">
        <f>-1*((RawData!AG23-AVERAGE(RawData!$AG$3:$AG$40))/STDEV(RawData!$AG$3:$AG$40))</f>
        <v>0.79687605162132791</v>
      </c>
      <c r="AH24" s="8">
        <f>((RawData!AH23-AVERAGE(RawData!$AH$3:$AH$40))/STDEV(RawData!$AH$3:$AH$40))</f>
        <v>0.32819244752489102</v>
      </c>
      <c r="AI24" s="8">
        <f>((RawData!AI23-AVERAGE(RawData!$AI$3:$AI$40))/STDEV(RawData!$AI$3:$AI$40))</f>
        <v>0.55436815918081928</v>
      </c>
      <c r="AJ24" s="8">
        <f>-1*((RawData!AJ23-AVERAGE(RawData!$AJ$3:$AJ$40))/STDEV(RawData!$AJ$3:$AJ$40))</f>
        <v>0.98675438206593025</v>
      </c>
      <c r="AK24" s="8">
        <f>-1*((RawData!AK23-AVERAGE(RawData!$AK$3:$AK$40))/STDEV(RawData!$AK$3:$AK$40))</f>
        <v>4.8339407878738208E-2</v>
      </c>
      <c r="AL24" s="8">
        <f>-1*((RawData!AL23-AVERAGE(RawData!$AL$3:$AL$40))/STDEV(RawData!$AL$3:$AL$40))</f>
        <v>0.2468490214458437</v>
      </c>
      <c r="AM24" s="8">
        <f>-1*((RawData!AM23-AVERAGE(RawData!$AM$3:$AM$40))/STDEV(RawData!$AM$3:$AM$40))</f>
        <v>-0.24215867793331902</v>
      </c>
      <c r="AN24" s="8">
        <f>((RawData!AN23-AVERAGE(RawData!$AN$3:$AN$40))/STDEV(RawData!$AN$3:$AN$40))</f>
        <v>-1.0851940132047879</v>
      </c>
      <c r="AO24" s="8">
        <f>-1*((RawData!AO23-AVERAGE(RawData!$AO$3:$AO$40))/STDEV(RawData!$AO$3:$AO$40))</f>
        <v>-1.3355779146409208</v>
      </c>
      <c r="AP24" s="8">
        <f>-1*((RawData!AP23-AVERAGE(RawData!$AP$3:$AP$40))/STDEV(RawData!$AP$3:$AP$40))</f>
        <v>-0.48376742656450294</v>
      </c>
      <c r="AQ24" s="8">
        <f>-1*((RawData!AQ23-AVERAGE(RawData!$AQ$3:$AQ$40))/STDEV(RawData!$AQ$3:$AQ$40))</f>
        <v>1.5732719306446126</v>
      </c>
    </row>
    <row r="25" spans="1:43" x14ac:dyDescent="0.3">
      <c r="A25" s="6" t="str">
        <f>RawData!A24</f>
        <v>Italy</v>
      </c>
      <c r="B25" s="8">
        <f>-1*((RawData!B24-AVERAGE(RawData!$B$3:$B$40))/STDEV(RawData!$B$3:$B$40))</f>
        <v>-0.66177263959460997</v>
      </c>
      <c r="C25" s="8">
        <f>((RawData!C24-AVERAGE(RawData!$C$3:$C$40))/STDEV(RawData!$C$3:$C$40))</f>
        <v>-0.24662997877514239</v>
      </c>
      <c r="D25" s="8">
        <f>((RawData!D24-AVERAGE(RawData!$D$3:$D$40))/STDEV(RawData!$D$3:$D$40))</f>
        <v>0.84354448260534409</v>
      </c>
      <c r="E25" s="8">
        <f>((RawData!E24-AVERAGE(RawData!$E$3:$E$40))/STDEV(RawData!$E$3:$E$40))</f>
        <v>0.16096527808668717</v>
      </c>
      <c r="F25" s="8">
        <f>((RawData!F24-AVERAGE(RawData!$F$3:$F$40))/STDEV(RawData!$F$3:$F$40))</f>
        <v>0.40300477496959647</v>
      </c>
      <c r="G25" s="8">
        <f>((RawData!G24-AVERAGE(RawData!$G$3:$G$40))/STDEV(RawData!$G$3:$G$40))</f>
        <v>1.1199402799938563</v>
      </c>
      <c r="H25" s="8">
        <f>((RawData!H24-AVERAGE(RawData!$H$3:$H$40))/STDEV(RawData!$H$3:$H$40))</f>
        <v>1.1791341714277106</v>
      </c>
      <c r="I25" s="8">
        <f>((RawData!I24-AVERAGE(RawData!$I$3:$I$40))/STDEV(RawData!$I$3:$I$40))</f>
        <v>-0.38409362229254129</v>
      </c>
      <c r="J25" s="8">
        <f>-1*((RawData!J24-AVERAGE(RawData!$J$3:$J$40))/STDEV(RawData!$J$3:$J$40))</f>
        <v>0.9361174015441035</v>
      </c>
      <c r="K25" s="8">
        <f>-1*((RawData!K24-AVERAGE(RawData!$K$3:$K$40))/STDEV(RawData!$K$3:$K$40))</f>
        <v>0.61164362846979126</v>
      </c>
      <c r="L25" s="8">
        <f>-1*((RawData!L24-AVERAGE(RawData!$L$3:$L$40))/STDEV(RawData!$L$3:$L$40))</f>
        <v>-1.4524631227012332</v>
      </c>
      <c r="M25" s="8">
        <f>-1*((RawData!M24-AVERAGE(RawData!$M$3:$M$40))/STDEV(RawData!$M$3:$M$40))</f>
        <v>-9.4100449535706648E-2</v>
      </c>
      <c r="N25" s="8">
        <f>-1*((RawData!N24-AVERAGE(RawData!$N$3:$N$40))/STDEV(RawData!$N$3:$N$40))</f>
        <v>0.33845396081495521</v>
      </c>
      <c r="O25" s="8">
        <f>-1*((AbsValues!B24-AVERAGE(AbsValues!$B$3:$B$40))/STDEV(AbsValues!$B$3:$B$40))</f>
        <v>-2.8790065370757962</v>
      </c>
      <c r="P25" s="8">
        <f>-1*((RawData!P24-AVERAGE(RawData!$P$3:$P$40))/STDEV(RawData!$P$3:$P$40))</f>
        <v>-0.7123312926063724</v>
      </c>
      <c r="Q25" s="8">
        <f>-1*((RawData!Q24-AVERAGE(RawData!$Q$3:$Q$40))/STDEV(RawData!$Q$3:$Q$40))</f>
        <v>0.59030317369835072</v>
      </c>
      <c r="R25" s="8">
        <f>-1*((RawData!R24-AVERAGE(RawData!$R$3:$R$40))/STDEV(RawData!$R$3:$R$40))</f>
        <v>-0.26958287413264748</v>
      </c>
      <c r="S25" s="8">
        <f>-1*((RawData!S24-AVERAGE(RawData!$S$3:$S$40))/STDEV(RawData!$S$3:$S$40))</f>
        <v>0.33845396081495521</v>
      </c>
      <c r="T25" s="8">
        <f>-1*((AbsValues!C24-AVERAGE(AbsValues!$C$3:$C$40))/STDEV(AbsValues!$C$3:$C$40))</f>
        <v>0.32073762283238327</v>
      </c>
      <c r="U25" s="8">
        <f>-1*((RawData!U24-AVERAGE(RawData!$U$3:$U$40))/STDEV(RawData!$U$3:$U$40))</f>
        <v>-0.45535002842906724</v>
      </c>
      <c r="V25" s="8">
        <f>-1*((RawData!V24-AVERAGE(RawData!$V$3:$V$40))/STDEV(RawData!$V$3:$V$40))</f>
        <v>-0.11166356150873023</v>
      </c>
      <c r="W25" s="8">
        <f>-1*((RawData!W24-AVERAGE(RawData!$W$3:$W$40))/STDEV(RawData!$W$3:$W$40))</f>
        <v>-0.50936527629509076</v>
      </c>
      <c r="X25" s="8">
        <f>-1*((RawData!X24-AVERAGE(RawData!$X$3:$X$40))/STDEV(RawData!$X$3:$X$40))</f>
        <v>-1.7088675979328016</v>
      </c>
      <c r="Y25" s="8">
        <f>((RawData!Y24-AVERAGE(RawData!$Y$3:$Y$40))/STDEV(RawData!$Y$3:$Y$40))</f>
        <v>-0.98972122936332685</v>
      </c>
      <c r="Z25" s="8">
        <f>((RawData!Z24-AVERAGE(RawData!$Z$3:$Z$40))/STDEV(RawData!$Z$3:$Z$40))</f>
        <v>-2.1543216523285427</v>
      </c>
      <c r="AA25" s="8">
        <f>-1*((RawData!AA24-AVERAGE(RawData!$AA$3:$AA$40))/STDEV(RawData!$AA$3:$AA$40))</f>
        <v>-0.45481961708526758</v>
      </c>
      <c r="AB25" s="8">
        <f>-1*((RawData!AB24-AVERAGE(RawData!$AB$3:$AB$40))/STDEV(RawData!$AB$3:$AB$40))</f>
        <v>-1.0867648715244287</v>
      </c>
      <c r="AC25" s="8">
        <f>-1*((RawData!AC24-AVERAGE(RawData!$AC$3:$AC$40))/STDEV(RawData!$AC$3:$AC$40))</f>
        <v>-0.6703675950928768</v>
      </c>
      <c r="AD25" s="8">
        <f>-1*((RawData!AD24-AVERAGE(RawData!$AD$3:$AD$40))/STDEV(RawData!$AD$3:$AD$40))</f>
        <v>-0.42727718108235579</v>
      </c>
      <c r="AE25" s="8">
        <f>-1*((RawData!AE24-AVERAGE(RawData!$AE$3:$AE$40))/STDEV(RawData!$AE$3:$AE$40))</f>
        <v>1.0401304461601151</v>
      </c>
      <c r="AF25" s="8">
        <f>-1*((RawData!AF24-AVERAGE(RawData!$AF$3:$AF$40))/STDEV(RawData!$AF$3:$AF$40))</f>
        <v>-1.6511558949637932</v>
      </c>
      <c r="AG25" s="8">
        <f>-1*((RawData!AG24-AVERAGE(RawData!$AG$3:$AG$40))/STDEV(RawData!$AG$3:$AG$40))</f>
        <v>-1.2218766124860361</v>
      </c>
      <c r="AH25" s="8">
        <f>((RawData!AH24-AVERAGE(RawData!$AH$3:$AH$40))/STDEV(RawData!$AH$3:$AH$40))</f>
        <v>0.14370556873871004</v>
      </c>
      <c r="AI25" s="8">
        <f>((RawData!AI24-AVERAGE(RawData!$AI$3:$AI$40))/STDEV(RawData!$AI$3:$AI$40))</f>
        <v>0.4273881106644169</v>
      </c>
      <c r="AJ25" s="8">
        <f>-1*((RawData!AJ24-AVERAGE(RawData!$AJ$3:$AJ$40))/STDEV(RawData!$AJ$3:$AJ$40))</f>
        <v>-0.98675438206593025</v>
      </c>
      <c r="AK25" s="8">
        <f>-1*((RawData!AK24-AVERAGE(RawData!$AK$3:$AK$40))/STDEV(RawData!$AK$3:$AK$40))</f>
        <v>-0.55408666461933731</v>
      </c>
      <c r="AL25" s="8">
        <f>-1*((RawData!AL24-AVERAGE(RawData!$AL$3:$AL$40))/STDEV(RawData!$AL$3:$AL$40))</f>
        <v>-0.97567638731592066</v>
      </c>
      <c r="AM25" s="8">
        <f>-1*((RawData!AM24-AVERAGE(RawData!$AM$3:$AM$40))/STDEV(RawData!$AM$3:$AM$40))</f>
        <v>-0.49425526884521781</v>
      </c>
      <c r="AN25" s="8">
        <f>((RawData!AN24-AVERAGE(RawData!$AN$3:$AN$40))/STDEV(RawData!$AN$3:$AN$40))</f>
        <v>1.0179870979972057</v>
      </c>
      <c r="AO25" s="8">
        <f>-1*((RawData!AO24-AVERAGE(RawData!$AO$3:$AO$40))/STDEV(RawData!$AO$3:$AO$40))</f>
        <v>-0.35957866910117098</v>
      </c>
      <c r="AP25" s="8">
        <f>-1*((RawData!AP24-AVERAGE(RawData!$AP$3:$AP$40))/STDEV(RawData!$AP$3:$AP$40))</f>
        <v>-0.48376742656450294</v>
      </c>
      <c r="AQ25" s="8">
        <f>-1*((RawData!AQ24-AVERAGE(RawData!$AQ$3:$AQ$40))/STDEV(RawData!$AQ$3:$AQ$40))</f>
        <v>-0.6827406491476623</v>
      </c>
    </row>
    <row r="26" spans="1:43" x14ac:dyDescent="0.3">
      <c r="A26" s="6" t="str">
        <f>RawData!A25</f>
        <v>Japan</v>
      </c>
      <c r="B26" s="8">
        <f>-1*((RawData!B25-AVERAGE(RawData!$B$3:$B$40))/STDEV(RawData!$B$3:$B$40))</f>
        <v>-1.0154888187582418</v>
      </c>
      <c r="C26" s="8">
        <f>((RawData!C25-AVERAGE(RawData!$C$3:$C$40))/STDEV(RawData!$C$3:$C$40))</f>
        <v>-0.2244740941570445</v>
      </c>
      <c r="D26" s="8">
        <f>((RawData!D25-AVERAGE(RawData!$D$3:$D$40))/STDEV(RawData!$D$3:$D$40))</f>
        <v>-1.0594133481028767</v>
      </c>
      <c r="E26" s="8">
        <f>((RawData!E25-AVERAGE(RawData!$E$3:$E$40))/STDEV(RawData!$E$3:$E$40))</f>
        <v>2.760088956149756E-2</v>
      </c>
      <c r="F26" s="8">
        <f>((RawData!F25-AVERAGE(RawData!$F$3:$F$40))/STDEV(RawData!$F$3:$F$40))</f>
        <v>-1.1366879400335128</v>
      </c>
      <c r="G26" s="8">
        <f>((RawData!G25-AVERAGE(RawData!$G$3:$G$40))/STDEV(RawData!$G$3:$G$40))</f>
        <v>0.11370645083282097</v>
      </c>
      <c r="H26" s="8">
        <f>((RawData!H25-AVERAGE(RawData!$H$3:$H$40))/STDEV(RawData!$H$3:$H$40))</f>
        <v>-0.26625610322561188</v>
      </c>
      <c r="I26" s="8">
        <f>((RawData!I25-AVERAGE(RawData!$I$3:$I$40))/STDEV(RawData!$I$3:$I$40))</f>
        <v>-0.38409362229254129</v>
      </c>
      <c r="J26" s="8">
        <f>-1*((RawData!J25-AVERAGE(RawData!$J$3:$J$40))/STDEV(RawData!$J$3:$J$40))</f>
        <v>-1.0401304461601153</v>
      </c>
      <c r="K26" s="8">
        <f>-1*((RawData!K25-AVERAGE(RawData!$K$3:$K$40))/STDEV(RawData!$K$3:$K$40))</f>
        <v>0.63352918203085729</v>
      </c>
      <c r="L26" s="8">
        <f>-1*((RawData!L25-AVERAGE(RawData!$L$3:$L$40))/STDEV(RawData!$L$3:$L$40))</f>
        <v>0.6703675950928768</v>
      </c>
      <c r="M26" s="8">
        <f>-1*((RawData!M25-AVERAGE(RawData!$M$3:$M$40))/STDEV(RawData!$M$3:$M$40))</f>
        <v>0.6210629669356641</v>
      </c>
      <c r="N26" s="8">
        <f>-1*((RawData!N25-AVERAGE(RawData!$N$3:$N$40))/STDEV(RawData!$N$3:$N$40))</f>
        <v>-2.8768586669271197</v>
      </c>
      <c r="O26" s="8">
        <f>-1*((AbsValues!B25-AVERAGE(AbsValues!$B$3:$B$40))/STDEV(AbsValues!$B$3:$B$40))</f>
        <v>0.45790361664878204</v>
      </c>
      <c r="P26" s="8">
        <f>-1*((RawData!P25-AVERAGE(RawData!$P$3:$P$40))/STDEV(RawData!$P$3:$P$40))</f>
        <v>-1.0828906425092077</v>
      </c>
      <c r="Q26" s="8">
        <f>-1*((RawData!Q25-AVERAGE(RawData!$Q$3:$Q$40))/STDEV(RawData!$Q$3:$Q$40))</f>
        <v>-0.10422987721415324</v>
      </c>
      <c r="R26" s="8">
        <f>-1*((RawData!R25-AVERAGE(RawData!$R$3:$R$40))/STDEV(RawData!$R$3:$R$40))</f>
        <v>0.44764045784438278</v>
      </c>
      <c r="S26" s="8">
        <f>-1*((RawData!S25-AVERAGE(RawData!$S$3:$S$40))/STDEV(RawData!$S$3:$S$40))</f>
        <v>-2.8768586669271197</v>
      </c>
      <c r="T26" s="8">
        <f>-1*((AbsValues!C25-AVERAGE(AbsValues!$C$3:$C$40))/STDEV(AbsValues!$C$3:$C$40))</f>
        <v>0.32073762283238327</v>
      </c>
      <c r="U26" s="8">
        <f>-1*((RawData!U25-AVERAGE(RawData!$U$3:$U$40))/STDEV(RawData!$U$3:$U$40))</f>
        <v>-2.5395630765133584E-2</v>
      </c>
      <c r="V26" s="8">
        <f>-1*((RawData!V25-AVERAGE(RawData!$V$3:$V$40))/STDEV(RawData!$V$3:$V$40))</f>
        <v>0.38576970792426141</v>
      </c>
      <c r="W26" s="8">
        <f>-1*((RawData!W25-AVERAGE(RawData!$W$3:$W$40))/STDEV(RawData!$W$3:$W$40))</f>
        <v>1.7994872683426952</v>
      </c>
      <c r="X26" s="8">
        <f>-1*((RawData!X25-AVERAGE(RawData!$X$3:$X$40))/STDEV(RawData!$X$3:$X$40))</f>
        <v>-1.0095988748326534</v>
      </c>
      <c r="Y26" s="8">
        <f>((RawData!Y25-AVERAGE(RawData!$Y$3:$Y$40))/STDEV(RawData!$Y$3:$Y$40))</f>
        <v>1.2528594572493827</v>
      </c>
      <c r="Z26" s="8">
        <f>((RawData!Z25-AVERAGE(RawData!$Z$3:$Z$40))/STDEV(RawData!$Z$3:$Z$40))</f>
        <v>0.18465614162816085</v>
      </c>
      <c r="AA26" s="8">
        <f>-1*((RawData!AA25-AVERAGE(RawData!$AA$3:$AA$40))/STDEV(RawData!$AA$3:$AA$40))</f>
        <v>0.71354919442894593</v>
      </c>
      <c r="AB26" s="8">
        <f>-1*((RawData!AB25-AVERAGE(RawData!$AB$3:$AB$40))/STDEV(RawData!$AB$3:$AB$40))</f>
        <v>0.4427560587692117</v>
      </c>
      <c r="AC26" s="8">
        <f>-1*((RawData!AC25-AVERAGE(RawData!$AC$3:$AC$40))/STDEV(RawData!$AC$3:$AC$40))</f>
        <v>-0.6703675950928768</v>
      </c>
      <c r="AD26" s="8">
        <f>-1*((RawData!AD25-AVERAGE(RawData!$AD$3:$AD$40))/STDEV(RawData!$AD$3:$AD$40))</f>
        <v>-0.42727718108235579</v>
      </c>
      <c r="AE26" s="8">
        <f>-1*((RawData!AE25-AVERAGE(RawData!$AE$3:$AE$40))/STDEV(RawData!$AE$3:$AE$40))</f>
        <v>-0.93611740154410361</v>
      </c>
      <c r="AF26" s="8">
        <f>-1*((RawData!AF25-AVERAGE(RawData!$AF$3:$AF$40))/STDEV(RawData!$AF$3:$AF$40))</f>
        <v>-1.6511558949637932</v>
      </c>
      <c r="AG26" s="8">
        <f>-1*((RawData!AG25-AVERAGE(RawData!$AG$3:$AG$40))/STDEV(RawData!$AG$3:$AG$40))</f>
        <v>0.79687605162132791</v>
      </c>
      <c r="AH26" s="8">
        <f>((RawData!AH25-AVERAGE(RawData!$AH$3:$AH$40))/STDEV(RawData!$AH$3:$AH$40))</f>
        <v>0.14370556873871004</v>
      </c>
      <c r="AI26" s="8">
        <f>((RawData!AI25-AVERAGE(RawData!$AI$3:$AI$40))/STDEV(RawData!$AI$3:$AI$40))</f>
        <v>-1.9852328111472262</v>
      </c>
      <c r="AJ26" s="8">
        <f>-1*((RawData!AJ25-AVERAGE(RawData!$AJ$3:$AJ$40))/STDEV(RawData!$AJ$3:$AJ$40))</f>
        <v>0.98675438206593025</v>
      </c>
      <c r="AK26" s="8">
        <f>-1*((RawData!AK25-AVERAGE(RawData!$AK$3:$AK$40))/STDEV(RawData!$AK$3:$AK$40))</f>
        <v>6.1695828038731085E-3</v>
      </c>
      <c r="AL26" s="8">
        <f>-1*((RawData!AL25-AVERAGE(RawData!$AL$3:$AL$40))/STDEV(RawData!$AL$3:$AL$40))</f>
        <v>-0.48841268868087445</v>
      </c>
      <c r="AM26" s="8">
        <f>-1*((RawData!AM25-AVERAGE(RawData!$AM$3:$AM$40))/STDEV(RawData!$AM$3:$AM$40))</f>
        <v>-0.28451090520651784</v>
      </c>
      <c r="AN26" s="8">
        <f>((RawData!AN25-AVERAGE(RawData!$AN$3:$AN$40))/STDEV(RawData!$AN$3:$AN$40))</f>
        <v>0.15418057018210113</v>
      </c>
      <c r="AO26" s="8">
        <f>-1*((RawData!AO25-AVERAGE(RawData!$AO$3:$AO$40))/STDEV(RawData!$AO$3:$AO$40))</f>
        <v>-0.35957866910117098</v>
      </c>
      <c r="AP26" s="8">
        <f>-1*((RawData!AP25-AVERAGE(RawData!$AP$3:$AP$40))/STDEV(RawData!$AP$3:$AP$40))</f>
        <v>-0.48376742656450294</v>
      </c>
      <c r="AQ26" s="8">
        <f>-1*((RawData!AQ25-AVERAGE(RawData!$AQ$3:$AQ$40))/STDEV(RawData!$AQ$3:$AQ$40))</f>
        <v>0.44526564074847519</v>
      </c>
    </row>
    <row r="27" spans="1:43" x14ac:dyDescent="0.3">
      <c r="A27" s="6" t="str">
        <f>RawData!A26</f>
        <v>Korea</v>
      </c>
      <c r="B27" s="8">
        <f>-1*((RawData!B26-AVERAGE(RawData!$B$3:$B$40))/STDEV(RawData!$B$3:$B$40))</f>
        <v>-0.40335822891029854</v>
      </c>
      <c r="C27" s="8">
        <f>((RawData!C26-AVERAGE(RawData!$C$3:$C$40))/STDEV(RawData!$C$3:$C$40))</f>
        <v>-0.2244740941570445</v>
      </c>
      <c r="D27" s="8">
        <f>((RawData!D26-AVERAGE(RawData!$D$3:$D$40))/STDEV(RawData!$D$3:$D$40))</f>
        <v>-0.88180395057010941</v>
      </c>
      <c r="E27" s="8">
        <f>((RawData!E26-AVERAGE(RawData!$E$3:$E$40))/STDEV(RawData!$E$3:$E$40))</f>
        <v>0.79914065332670225</v>
      </c>
      <c r="F27" s="8">
        <f>((RawData!F26-AVERAGE(RawData!$F$3:$F$40))/STDEV(RawData!$F$3:$F$40))</f>
        <v>0.25449494941939654</v>
      </c>
      <c r="G27" s="8">
        <f>((RawData!G26-AVERAGE(RawData!$G$3:$G$40))/STDEV(RawData!$G$3:$G$40))</f>
        <v>-0.16428036293842818</v>
      </c>
      <c r="H27" s="8">
        <f>((RawData!H26-AVERAGE(RawData!$H$3:$H$40))/STDEV(RawData!$H$3:$H$40))</f>
        <v>1.1791341714277106</v>
      </c>
      <c r="I27" s="8">
        <f>((RawData!I26-AVERAGE(RawData!$I$3:$I$40))/STDEV(RawData!$I$3:$I$40))</f>
        <v>-0.38409362229254129</v>
      </c>
      <c r="J27" s="8">
        <f>-1*((RawData!J26-AVERAGE(RawData!$J$3:$J$40))/STDEV(RawData!$J$3:$J$40))</f>
        <v>-1.0401304461601153</v>
      </c>
      <c r="K27" s="8">
        <f>-1*((RawData!K26-AVERAGE(RawData!$K$3:$K$40))/STDEV(RawData!$K$3:$K$40))</f>
        <v>0.2614747714927354</v>
      </c>
      <c r="L27" s="8">
        <f>-1*((RawData!L26-AVERAGE(RawData!$L$3:$L$40))/STDEV(RawData!$L$3:$L$40))</f>
        <v>0.6703675950928768</v>
      </c>
      <c r="M27" s="8">
        <f>-1*((RawData!M26-AVERAGE(RawData!$M$3:$M$40))/STDEV(RawData!$M$3:$M$40))</f>
        <v>-1.5244272824784484</v>
      </c>
      <c r="N27" s="8">
        <f>-1*((RawData!N26-AVERAGE(RawData!$N$3:$N$40))/STDEV(RawData!$N$3:$N$40))</f>
        <v>0.33845396081495521</v>
      </c>
      <c r="O27" s="8">
        <f>-1*((AbsValues!B26-AVERAGE(AbsValues!$B$3:$B$40))/STDEV(AbsValues!$B$3:$B$40))</f>
        <v>0.59391264411659439</v>
      </c>
      <c r="P27" s="8">
        <f>-1*((RawData!P26-AVERAGE(RawData!$P$3:$P$40))/STDEV(RawData!$P$3:$P$40))</f>
        <v>-0.62743105899943219</v>
      </c>
      <c r="Q27" s="8">
        <f>-1*((RawData!Q26-AVERAGE(RawData!$Q$3:$Q$40))/STDEV(RawData!$Q$3:$Q$40))</f>
        <v>-1.3337362292276933</v>
      </c>
      <c r="R27" s="8">
        <f>-1*((RawData!R26-AVERAGE(RawData!$R$3:$R$40))/STDEV(RawData!$R$3:$R$40))</f>
        <v>-0.16450873806795663</v>
      </c>
      <c r="S27" s="8">
        <f>-1*((RawData!S26-AVERAGE(RawData!$S$3:$S$40))/STDEV(RawData!$S$3:$S$40))</f>
        <v>-2.8768586669271197</v>
      </c>
      <c r="T27" s="8">
        <f>-1*((AbsValues!C26-AVERAGE(AbsValues!$C$3:$C$40))/STDEV(AbsValues!$C$3:$C$40))</f>
        <v>0.32073762283238327</v>
      </c>
      <c r="U27" s="8">
        <f>-1*((RawData!U26-AVERAGE(RawData!$U$3:$U$40))/STDEV(RawData!$U$3:$U$40))</f>
        <v>1.5110201279934961</v>
      </c>
      <c r="V27" s="8">
        <f>-1*((RawData!V26-AVERAGE(RawData!$V$3:$V$40))/STDEV(RawData!$V$3:$V$40))</f>
        <v>-1.7260248317002331</v>
      </c>
      <c r="W27" s="8">
        <f>-1*((RawData!W26-AVERAGE(RawData!$W$3:$W$40))/STDEV(RawData!$W$3:$W$40))</f>
        <v>1.7994872683426952</v>
      </c>
      <c r="X27" s="8">
        <f>-1*((RawData!X26-AVERAGE(RawData!$X$3:$X$40))/STDEV(RawData!$X$3:$X$40))</f>
        <v>-2.4649499599662068E-2</v>
      </c>
      <c r="Y27" s="8">
        <f>((RawData!Y26-AVERAGE(RawData!$Y$3:$Y$40))/STDEV(RawData!$Y$3:$Y$40))</f>
        <v>0.74225154889105727</v>
      </c>
      <c r="Z27" s="8">
        <f>((RawData!Z26-AVERAGE(RawData!$Z$3:$Z$40))/STDEV(RawData!$Z$3:$Z$40))</f>
        <v>-2.1543216523285427</v>
      </c>
      <c r="AA27" s="8">
        <f>-1*((RawData!AA26-AVERAGE(RawData!$AA$3:$AA$40))/STDEV(RawData!$AA$3:$AA$40))</f>
        <v>0.72396006492306719</v>
      </c>
      <c r="AB27" s="8">
        <f>-1*((RawData!AB26-AVERAGE(RawData!$AB$3:$AB$40))/STDEV(RawData!$AB$3:$AB$40))</f>
        <v>0.4427560587692117</v>
      </c>
      <c r="AC27" s="8">
        <f>-1*((RawData!AC26-AVERAGE(RawData!$AC$3:$AC$40))/STDEV(RawData!$AC$3:$AC$40))</f>
        <v>-0.6703675950928768</v>
      </c>
      <c r="AD27" s="8">
        <f>-1*((RawData!AD26-AVERAGE(RawData!$AD$3:$AD$40))/STDEV(RawData!$AD$3:$AD$40))</f>
        <v>-0.42727718108235579</v>
      </c>
      <c r="AE27" s="8">
        <f>-1*((RawData!AE26-AVERAGE(RawData!$AE$3:$AE$40))/STDEV(RawData!$AE$3:$AE$40))</f>
        <v>1.0401304461601151</v>
      </c>
      <c r="AF27" s="8">
        <f>-1*((RawData!AF26-AVERAGE(RawData!$AF$3:$AF$40))/STDEV(RawData!$AF$3:$AF$40))</f>
        <v>-1.6511558949637932</v>
      </c>
      <c r="AG27" s="8">
        <f>-1*((RawData!AG26-AVERAGE(RawData!$AG$3:$AG$40))/STDEV(RawData!$AG$3:$AG$40))</f>
        <v>-1.2218766124860361</v>
      </c>
      <c r="AH27" s="8">
        <f>((RawData!AH26-AVERAGE(RawData!$AH$3:$AH$40))/STDEV(RawData!$AH$3:$AH$40))</f>
        <v>0.14370556873871004</v>
      </c>
      <c r="AI27" s="8">
        <f>((RawData!AI26-AVERAGE(RawData!$AI$3:$AI$40))/STDEV(RawData!$AI$3:$AI$40))</f>
        <v>-1.9852328111472262</v>
      </c>
      <c r="AJ27" s="8">
        <f>-1*((RawData!AJ26-AVERAGE(RawData!$AJ$3:$AJ$40))/STDEV(RawData!$AJ$3:$AJ$40))</f>
        <v>-0.98675438206593025</v>
      </c>
      <c r="AK27" s="8">
        <f>-1*((RawData!AK26-AVERAGE(RawData!$AK$3:$AK$40))/STDEV(RawData!$AK$3:$AK$40))</f>
        <v>-0.15246928295395351</v>
      </c>
      <c r="AL27" s="8">
        <f>-1*((RawData!AL26-AVERAGE(RawData!$AL$3:$AL$40))/STDEV(RawData!$AL$3:$AL$40))</f>
        <v>-0.62638341338398795</v>
      </c>
      <c r="AM27" s="8">
        <f>-1*((RawData!AM26-AVERAGE(RawData!$AM$3:$AM$40))/STDEV(RawData!$AM$3:$AM$40))</f>
        <v>-0.44383595066283799</v>
      </c>
      <c r="AN27" s="8">
        <f>((RawData!AN26-AVERAGE(RawData!$AN$3:$AN$40))/STDEV(RawData!$AN$3:$AN$40))</f>
        <v>0.75508945909695646</v>
      </c>
      <c r="AO27" s="8">
        <f>-1*((RawData!AO26-AVERAGE(RawData!$AO$3:$AO$40))/STDEV(RawData!$AO$3:$AO$40))</f>
        <v>-0.35957866910117098</v>
      </c>
      <c r="AP27" s="8">
        <f>-1*((RawData!AP26-AVERAGE(RawData!$AP$3:$AP$40))/STDEV(RawData!$AP$3:$AP$40))</f>
        <v>-0.48376742656450294</v>
      </c>
      <c r="AQ27" s="8">
        <f>-1*((RawData!AQ26-AVERAGE(RawData!$AQ$3:$AQ$40))/STDEV(RawData!$AQ$3:$AQ$40))</f>
        <v>0.44526564074847519</v>
      </c>
    </row>
    <row r="28" spans="1:43" x14ac:dyDescent="0.3">
      <c r="A28" s="6" t="str">
        <f>RawData!A27</f>
        <v>Lithuania</v>
      </c>
      <c r="B28" s="8">
        <f>-1*((RawData!B27-AVERAGE(RawData!$B$3:$B$40))/STDEV(RawData!$B$3:$B$40))</f>
        <v>1.5026771406761124</v>
      </c>
      <c r="C28" s="8">
        <f>((RawData!C27-AVERAGE(RawData!$C$3:$C$40))/STDEV(RawData!$C$3:$C$40))</f>
        <v>-0.24662997877514239</v>
      </c>
      <c r="D28" s="8">
        <f>((RawData!D27-AVERAGE(RawData!$D$3:$D$40))/STDEV(RawData!$D$3:$D$40))</f>
        <v>0.58981677184424797</v>
      </c>
      <c r="E28" s="8">
        <f>((RawData!E27-AVERAGE(RawData!$E$3:$E$40))/STDEV(RawData!$E$3:$E$40))</f>
        <v>0.59660214166516456</v>
      </c>
      <c r="F28" s="8">
        <f>((RawData!F27-AVERAGE(RawData!$F$3:$F$40))/STDEV(RawData!$F$3:$F$40))</f>
        <v>1.6972595504971213</v>
      </c>
      <c r="G28" s="8">
        <f>((RawData!G27-AVERAGE(RawData!$G$3:$G$40))/STDEV(RawData!$G$3:$G$40))</f>
        <v>1.1260331052624546</v>
      </c>
      <c r="H28" s="8">
        <f>((RawData!H27-AVERAGE(RawData!$H$3:$H$40))/STDEV(RawData!$H$3:$H$40))</f>
        <v>1.1791341714277106</v>
      </c>
      <c r="I28" s="8">
        <f>((RawData!I27-AVERAGE(RawData!$I$3:$I$40))/STDEV(RawData!$I$3:$I$40))</f>
        <v>-0.38409362229254129</v>
      </c>
      <c r="J28" s="8">
        <f>-1*((RawData!J27-AVERAGE(RawData!$J$3:$J$40))/STDEV(RawData!$J$3:$J$40))</f>
        <v>-1.0401304461601153</v>
      </c>
      <c r="K28" s="8">
        <f>-1*((RawData!K27-AVERAGE(RawData!$K$3:$K$40))/STDEV(RawData!$K$3:$K$40))</f>
        <v>-1.0516584421712241</v>
      </c>
      <c r="L28" s="8">
        <f>-1*((RawData!L27-AVERAGE(RawData!$L$3:$L$40))/STDEV(RawData!$L$3:$L$40))</f>
        <v>0.6703675950928768</v>
      </c>
      <c r="M28" s="8">
        <f>-1*((RawData!M27-AVERAGE(RawData!$M$3:$M$40))/STDEV(RawData!$M$3:$M$40))</f>
        <v>-9.4100449535706648E-2</v>
      </c>
      <c r="N28" s="8">
        <f>-1*((RawData!N27-AVERAGE(RawData!$N$3:$N$40))/STDEV(RawData!$N$3:$N$40))</f>
        <v>0.33845396081495521</v>
      </c>
      <c r="O28" s="8">
        <f>-1*((AbsValues!B27-AVERAGE(AbsValues!$B$3:$B$40))/STDEV(AbsValues!$B$3:$B$40))</f>
        <v>0.59391264411659439</v>
      </c>
      <c r="P28" s="8">
        <f>-1*((RawData!P27-AVERAGE(RawData!$P$3:$P$40))/STDEV(RawData!$P$3:$P$40))</f>
        <v>0.77104078298376788</v>
      </c>
      <c r="Q28" s="8">
        <f>-1*((RawData!Q27-AVERAGE(RawData!$Q$3:$Q$40))/STDEV(RawData!$Q$3:$Q$40))</f>
        <v>0.28303888712570069</v>
      </c>
      <c r="R28" s="8">
        <f>-1*((RawData!R27-AVERAGE(RawData!$R$3:$R$40))/STDEV(RawData!$R$3:$R$40))</f>
        <v>-3.3108495093272995E-2</v>
      </c>
      <c r="S28" s="8">
        <f>-1*((RawData!S27-AVERAGE(RawData!$S$3:$S$40))/STDEV(RawData!$S$3:$S$40))</f>
        <v>0.33845396081495521</v>
      </c>
      <c r="T28" s="8">
        <f>-1*((AbsValues!C27-AVERAGE(AbsValues!$C$3:$C$40))/STDEV(AbsValues!$C$3:$C$40))</f>
        <v>0.32073762283238327</v>
      </c>
      <c r="U28" s="8">
        <f>-1*((RawData!U27-AVERAGE(RawData!$U$3:$U$40))/STDEV(RawData!$U$3:$U$40))</f>
        <v>-1.5723000238603271E-3</v>
      </c>
      <c r="V28" s="8">
        <f>-1*((RawData!V27-AVERAGE(RawData!$V$3:$V$40))/STDEV(RawData!$V$3:$V$40))</f>
        <v>0.850828252697586</v>
      </c>
      <c r="W28" s="8">
        <f>-1*((RawData!W27-AVERAGE(RawData!$W$3:$W$40))/STDEV(RawData!$W$3:$W$40))</f>
        <v>-0.31696089757527524</v>
      </c>
      <c r="X28" s="8">
        <f>-1*((RawData!X27-AVERAGE(RawData!$X$3:$X$40))/STDEV(RawData!$X$3:$X$40))</f>
        <v>-0.70230522050920885</v>
      </c>
      <c r="Y28" s="8">
        <f>((RawData!Y27-AVERAGE(RawData!$Y$3:$Y$40))/STDEV(RawData!$Y$3:$Y$40))</f>
        <v>0.17590685603555689</v>
      </c>
      <c r="Z28" s="8">
        <f>((RawData!Z27-AVERAGE(RawData!$Z$3:$Z$40))/STDEV(RawData!$Z$3:$Z$40))</f>
        <v>0.18465614162816085</v>
      </c>
      <c r="AA28" s="8">
        <f>-1*((RawData!AA27-AVERAGE(RawData!$AA$3:$AA$40))/STDEV(RawData!$AA$3:$AA$40))</f>
        <v>0.19907216763164592</v>
      </c>
      <c r="AB28" s="8">
        <f>-1*((RawData!AB27-AVERAGE(RawData!$AB$3:$AB$40))/STDEV(RawData!$AB$3:$AB$40))</f>
        <v>0.4427560587692117</v>
      </c>
      <c r="AC28" s="8">
        <f>-1*((RawData!AC27-AVERAGE(RawData!$AC$3:$AC$40))/STDEV(RawData!$AC$3:$AC$40))</f>
        <v>-0.6703675950928768</v>
      </c>
      <c r="AD28" s="8">
        <f>-1*((RawData!AD27-AVERAGE(RawData!$AD$3:$AD$40))/STDEV(RawData!$AD$3:$AD$40))</f>
        <v>2.27881163243923</v>
      </c>
      <c r="AE28" s="8">
        <f>-1*((RawData!AE27-AVERAGE(RawData!$AE$3:$AE$40))/STDEV(RawData!$AE$3:$AE$40))</f>
        <v>1.0401304461601151</v>
      </c>
      <c r="AF28" s="8">
        <f>-1*((RawData!AF27-AVERAGE(RawData!$AF$3:$AF$40))/STDEV(RawData!$AF$3:$AF$40))</f>
        <v>0.58969853391564031</v>
      </c>
      <c r="AG28" s="8">
        <f>-1*((RawData!AG27-AVERAGE(RawData!$AG$3:$AG$40))/STDEV(RawData!$AG$3:$AG$40))</f>
        <v>0.79687605162132791</v>
      </c>
      <c r="AH28" s="8">
        <f>((RawData!AH27-AVERAGE(RawData!$AH$3:$AH$40))/STDEV(RawData!$AH$3:$AH$40))</f>
        <v>0.32819244752489102</v>
      </c>
      <c r="AI28" s="8">
        <f>((RawData!AI27-AVERAGE(RawData!$AI$3:$AI$40))/STDEV(RawData!$AI$3:$AI$40))</f>
        <v>0.55436815918081928</v>
      </c>
      <c r="AJ28" s="8">
        <f>-1*((RawData!AJ27-AVERAGE(RawData!$AJ$3:$AJ$40))/STDEV(RawData!$AJ$3:$AJ$40))</f>
        <v>-0.98675438206593025</v>
      </c>
      <c r="AK28" s="8">
        <f>-1*((RawData!AK27-AVERAGE(RawData!$AK$3:$AK$40))/STDEV(RawData!$AK$3:$AK$40))</f>
        <v>0.44995678954412194</v>
      </c>
      <c r="AL28" s="8">
        <f>-1*((RawData!AL27-AVERAGE(RawData!$AL$3:$AL$40))/STDEV(RawData!$AL$3:$AL$40))</f>
        <v>0.42149550841180994</v>
      </c>
      <c r="AM28" s="8">
        <f>-1*((RawData!AM27-AVERAGE(RawData!$AM$3:$AM$40))/STDEV(RawData!$AM$3:$AM$40))</f>
        <v>0.76622768571427646</v>
      </c>
      <c r="AN28" s="8">
        <f>((RawData!AN27-AVERAGE(RawData!$AN$3:$AN$40))/STDEV(RawData!$AN$3:$AN$40))</f>
        <v>-0.67206915207582485</v>
      </c>
      <c r="AO28" s="8">
        <f>-1*((RawData!AO27-AVERAGE(RawData!$AO$3:$AO$40))/STDEV(RawData!$AO$3:$AO$40))</f>
        <v>0.61642057643857884</v>
      </c>
      <c r="AP28" s="8">
        <f>-1*((RawData!AP27-AVERAGE(RawData!$AP$3:$AP$40))/STDEV(RawData!$AP$3:$AP$40))</f>
        <v>-0.48376742656450294</v>
      </c>
      <c r="AQ28" s="8">
        <f>-1*((RawData!AQ27-AVERAGE(RawData!$AQ$3:$AQ$40))/STDEV(RawData!$AQ$3:$AQ$40))</f>
        <v>1.5732719306446126</v>
      </c>
    </row>
    <row r="29" spans="1:43" x14ac:dyDescent="0.3">
      <c r="A29" s="6" t="str">
        <f>RawData!A28</f>
        <v>Luxembourg</v>
      </c>
      <c r="B29" s="8">
        <f>-1*((RawData!B28-AVERAGE(RawData!$B$3:$B$40))/STDEV(RawData!$B$3:$B$40))</f>
        <v>6.032152926793441E-2</v>
      </c>
      <c r="C29" s="8">
        <f>((RawData!C28-AVERAGE(RawData!$C$3:$C$40))/STDEV(RawData!$C$3:$C$40))</f>
        <v>-0.24662997877514239</v>
      </c>
      <c r="D29" s="8">
        <f>((RawData!D28-AVERAGE(RawData!$D$3:$D$40))/STDEV(RawData!$D$3:$D$40))</f>
        <v>-0.75494009518956129</v>
      </c>
      <c r="E29" s="8">
        <f>((RawData!E28-AVERAGE(RawData!$E$3:$E$40))/STDEV(RawData!$E$3:$E$40))</f>
        <v>0.20468041998340752</v>
      </c>
      <c r="F29" s="8">
        <f>((RawData!F28-AVERAGE(RawData!$F$3:$F$40))/STDEV(RawData!$F$3:$F$40))</f>
        <v>-0.10047077899988448</v>
      </c>
      <c r="G29" s="8">
        <f>((RawData!G28-AVERAGE(RawData!$G$3:$G$40))/STDEV(RawData!$G$3:$G$40))</f>
        <v>0.5816106691306967</v>
      </c>
      <c r="H29" s="8">
        <f>((RawData!H28-AVERAGE(RawData!$H$3:$H$40))/STDEV(RawData!$H$3:$H$40))</f>
        <v>1.1791341714277106</v>
      </c>
      <c r="I29" s="8">
        <f>((RawData!I28-AVERAGE(RawData!$I$3:$I$40))/STDEV(RawData!$I$3:$I$40))</f>
        <v>-0.38409362229254129</v>
      </c>
      <c r="J29" s="8">
        <f>-1*((RawData!J28-AVERAGE(RawData!$J$3:$J$40))/STDEV(RawData!$J$3:$J$40))</f>
        <v>-1.0401304461601153</v>
      </c>
      <c r="K29" s="8">
        <f>-1*((RawData!K28-AVERAGE(RawData!$K$3:$K$40))/STDEV(RawData!$K$3:$K$40))</f>
        <v>1.4870657709124309</v>
      </c>
      <c r="L29" s="8">
        <f>-1*((RawData!L28-AVERAGE(RawData!$L$3:$L$40))/STDEV(RawData!$L$3:$L$40))</f>
        <v>0.6703675950928768</v>
      </c>
      <c r="M29" s="8">
        <f>-1*((RawData!M28-AVERAGE(RawData!$M$3:$M$40))/STDEV(RawData!$M$3:$M$40))</f>
        <v>-9.4100449535706648E-2</v>
      </c>
      <c r="N29" s="8">
        <f>-1*((RawData!N28-AVERAGE(RawData!$N$3:$N$40))/STDEV(RawData!$N$3:$N$40))</f>
        <v>-2.8768586669271197</v>
      </c>
      <c r="O29" s="8">
        <f>-1*((AbsValues!B28-AVERAGE(AbsValues!$B$3:$B$40))/STDEV(AbsValues!$B$3:$B$40))</f>
        <v>0.52686524627948095</v>
      </c>
      <c r="P29" s="8">
        <f>-1*((RawData!P28-AVERAGE(RawData!$P$3:$P$40))/STDEV(RawData!$P$3:$P$40))</f>
        <v>-0.11130563960157928</v>
      </c>
      <c r="Q29" s="8">
        <f>-1*((RawData!Q28-AVERAGE(RawData!$Q$3:$Q$40))/STDEV(RawData!$Q$3:$Q$40))</f>
        <v>0.41286520675229826</v>
      </c>
      <c r="R29" s="8">
        <f>-1*((RawData!R28-AVERAGE(RawData!$R$3:$R$40))/STDEV(RawData!$R$3:$R$40))</f>
        <v>-0.56251351932251359</v>
      </c>
      <c r="S29" s="8">
        <f>-1*((RawData!S28-AVERAGE(RawData!$S$3:$S$40))/STDEV(RawData!$S$3:$S$40))</f>
        <v>-2.8768586669271197</v>
      </c>
      <c r="T29" s="8">
        <f>-1*((AbsValues!C28-AVERAGE(AbsValues!$C$3:$C$40))/STDEV(AbsValues!$C$3:$C$40))</f>
        <v>0.32073762283238327</v>
      </c>
      <c r="U29" s="8">
        <f>-1*((RawData!U28-AVERAGE(RawData!$U$3:$U$40))/STDEV(RawData!$U$3:$U$40))</f>
        <v>1.5110201279934961</v>
      </c>
      <c r="V29" s="8">
        <f>-1*((RawData!V28-AVERAGE(RawData!$V$3:$V$40))/STDEV(RawData!$V$3:$V$40))</f>
        <v>0.325832717675959</v>
      </c>
      <c r="W29" s="8">
        <f>-1*((RawData!W28-AVERAGE(RawData!$W$3:$W$40))/STDEV(RawData!$W$3:$W$40))</f>
        <v>0.45265661730398671</v>
      </c>
      <c r="X29" s="8">
        <f>-1*((RawData!X28-AVERAGE(RawData!$X$3:$X$40))/STDEV(RawData!$X$3:$X$40))</f>
        <v>-6.8175613315401215E-2</v>
      </c>
      <c r="Y29" s="8">
        <f>((RawData!Y28-AVERAGE(RawData!$Y$3:$Y$40))/STDEV(RawData!$Y$3:$Y$40))</f>
        <v>2.158351068833281</v>
      </c>
      <c r="Z29" s="8">
        <f>((RawData!Z28-AVERAGE(RawData!$Z$3:$Z$40))/STDEV(RawData!$Z$3:$Z$40))</f>
        <v>0.18465614162816085</v>
      </c>
      <c r="AA29" s="8">
        <f>-1*((RawData!AA28-AVERAGE(RawData!$AA$3:$AA$40))/STDEV(RawData!$AA$3:$AA$40))</f>
        <v>0.62863935163924001</v>
      </c>
      <c r="AB29" s="8">
        <f>-1*((RawData!AB28-AVERAGE(RawData!$AB$3:$AB$40))/STDEV(RawData!$AB$3:$AB$40))</f>
        <v>0.4427560587692117</v>
      </c>
      <c r="AC29" s="8">
        <f>-1*((RawData!AC28-AVERAGE(RawData!$AC$3:$AC$40))/STDEV(RawData!$AC$3:$AC$40))</f>
        <v>-0.6703675950928768</v>
      </c>
      <c r="AD29" s="8">
        <f>-1*((RawData!AD28-AVERAGE(RawData!$AD$3:$AD$40))/STDEV(RawData!$AD$3:$AD$40))</f>
        <v>-0.42727718108235579</v>
      </c>
      <c r="AE29" s="8">
        <f>-1*((RawData!AE28-AVERAGE(RawData!$AE$3:$AE$40))/STDEV(RawData!$AE$3:$AE$40))</f>
        <v>-0.93611740154410361</v>
      </c>
      <c r="AF29" s="8">
        <f>-1*((RawData!AF28-AVERAGE(RawData!$AF$3:$AF$40))/STDEV(RawData!$AF$3:$AF$40))</f>
        <v>0.58969853391564031</v>
      </c>
      <c r="AG29" s="8">
        <f>-1*((RawData!AG28-AVERAGE(RawData!$AG$3:$AG$40))/STDEV(RawData!$AG$3:$AG$40))</f>
        <v>0.79687605162132791</v>
      </c>
      <c r="AH29" s="8">
        <f>((RawData!AH28-AVERAGE(RawData!$AH$3:$AH$40))/STDEV(RawData!$AH$3:$AH$40))</f>
        <v>0.32819244752489102</v>
      </c>
      <c r="AI29" s="8">
        <f>((RawData!AI28-AVERAGE(RawData!$AI$3:$AI$40))/STDEV(RawData!$AI$3:$AI$40))</f>
        <v>0.55436815918081928</v>
      </c>
      <c r="AJ29" s="8">
        <f>-1*((RawData!AJ28-AVERAGE(RawData!$AJ$3:$AJ$40))/STDEV(RawData!$AJ$3:$AJ$40))</f>
        <v>0.98675438206593025</v>
      </c>
      <c r="AK29" s="8">
        <f>-1*((RawData!AK28-AVERAGE(RawData!$AK$3:$AK$40))/STDEV(RawData!$AK$3:$AK$40))</f>
        <v>0.5503611349604679</v>
      </c>
      <c r="AL29" s="8">
        <f>-1*((RawData!AL28-AVERAGE(RawData!$AL$3:$AL$40))/STDEV(RawData!$AL$3:$AL$40))</f>
        <v>1.2947279432416416</v>
      </c>
      <c r="AM29" s="8">
        <f>-1*((RawData!AM28-AVERAGE(RawData!$AM$3:$AM$40))/STDEV(RawData!$AM$3:$AM$40))</f>
        <v>1.7746140493618718</v>
      </c>
      <c r="AN29" s="8">
        <f>((RawData!AN28-AVERAGE(RawData!$AN$3:$AN$40))/STDEV(RawData!$AN$3:$AN$40))</f>
        <v>0.41707820908235033</v>
      </c>
      <c r="AO29" s="8">
        <f>-1*((RawData!AO28-AVERAGE(RawData!$AO$3:$AO$40))/STDEV(RawData!$AO$3:$AO$40))</f>
        <v>0.61642057643857884</v>
      </c>
      <c r="AP29" s="8">
        <f>-1*((RawData!AP28-AVERAGE(RawData!$AP$3:$AP$40))/STDEV(RawData!$AP$3:$AP$40))</f>
        <v>-0.48376742656450294</v>
      </c>
      <c r="AQ29" s="8">
        <f>-1*((RawData!AQ28-AVERAGE(RawData!$AQ$3:$AQ$40))/STDEV(RawData!$AQ$3:$AQ$40))</f>
        <v>-0.6827406491476623</v>
      </c>
    </row>
    <row r="30" spans="1:43" x14ac:dyDescent="0.3">
      <c r="A30" s="6" t="str">
        <f>RawData!A29</f>
        <v>Latvia</v>
      </c>
      <c r="B30" s="8">
        <f>-1*((RawData!B29-AVERAGE(RawData!$B$3:$B$40))/STDEV(RawData!$B$3:$B$40))</f>
        <v>0.76958661391210814</v>
      </c>
      <c r="C30" s="8">
        <f>((RawData!C29-AVERAGE(RawData!$C$3:$C$40))/STDEV(RawData!$C$3:$C$40))</f>
        <v>4.1845469448444375</v>
      </c>
      <c r="D30" s="8">
        <f>((RawData!D29-AVERAGE(RawData!$D$3:$D$40))/STDEV(RawData!$D$3:$D$40))</f>
        <v>1.3509999041275362</v>
      </c>
      <c r="E30" s="8">
        <f>((RawData!E29-AVERAGE(RawData!$E$3:$E$40))/STDEV(RawData!$E$3:$E$40))</f>
        <v>1.7625146972280528</v>
      </c>
      <c r="F30" s="8">
        <f>((RawData!F29-AVERAGE(RawData!$F$3:$F$40))/STDEV(RawData!$F$3:$F$40))</f>
        <v>2.5923737358686152</v>
      </c>
      <c r="G30" s="8">
        <f>((RawData!G29-AVERAGE(RawData!$G$3:$G$40))/STDEV(RawData!$G$3:$G$40))</f>
        <v>1.3170923836209727</v>
      </c>
      <c r="H30" s="8">
        <f>((RawData!H29-AVERAGE(RawData!$H$3:$H$40))/STDEV(RawData!$H$3:$H$40))</f>
        <v>1.1791341714277106</v>
      </c>
      <c r="I30" s="8">
        <f>((RawData!I29-AVERAGE(RawData!$I$3:$I$40))/STDEV(RawData!$I$3:$I$40))</f>
        <v>2.535017907130773</v>
      </c>
      <c r="J30" s="8">
        <f>-1*((RawData!J29-AVERAGE(RawData!$J$3:$J$40))/STDEV(RawData!$J$3:$J$40))</f>
        <v>0.9361174015441035</v>
      </c>
      <c r="K30" s="8">
        <f>-1*((RawData!K29-AVERAGE(RawData!$K$3:$K$40))/STDEV(RawData!$K$3:$K$40))</f>
        <v>1.3995235566681667</v>
      </c>
      <c r="L30" s="8">
        <f>-1*((RawData!L29-AVERAGE(RawData!$L$3:$L$40))/STDEV(RawData!$L$3:$L$40))</f>
        <v>0.6703675950928768</v>
      </c>
      <c r="M30" s="8">
        <f>-1*((RawData!M29-AVERAGE(RawData!$M$3:$M$40))/STDEV(RawData!$M$3:$M$40))</f>
        <v>1.3362263834070349</v>
      </c>
      <c r="N30" s="8">
        <f>-1*((RawData!N29-AVERAGE(RawData!$N$3:$N$40))/STDEV(RawData!$N$3:$N$40))</f>
        <v>0.33845396081495521</v>
      </c>
      <c r="O30" s="8">
        <f>-1*((AbsValues!B29-AVERAGE(AbsValues!$B$3:$B$40))/STDEV(AbsValues!$B$3:$B$40))</f>
        <v>0.59391264411659439</v>
      </c>
      <c r="P30" s="8">
        <f>-1*((RawData!P29-AVERAGE(RawData!$P$3:$P$40))/STDEV(RawData!$P$3:$P$40))</f>
        <v>1.0916983853379549</v>
      </c>
      <c r="Q30" s="8">
        <f>-1*((RawData!Q29-AVERAGE(RawData!$Q$3:$Q$40))/STDEV(RawData!$Q$3:$Q$40))</f>
        <v>-0.30146873004435687</v>
      </c>
      <c r="R30" s="8">
        <f>-1*((RawData!R29-AVERAGE(RawData!$R$3:$R$40))/STDEV(RawData!$R$3:$R$40))</f>
        <v>0.26624628973043951</v>
      </c>
      <c r="S30" s="8">
        <f>-1*((RawData!S29-AVERAGE(RawData!$S$3:$S$40))/STDEV(RawData!$S$3:$S$40))</f>
        <v>0.33845396081495521</v>
      </c>
      <c r="T30" s="8">
        <f>-1*((AbsValues!C29-AVERAGE(AbsValues!$C$3:$C$40))/STDEV(AbsValues!$C$3:$C$40))</f>
        <v>0.32073762283238327</v>
      </c>
      <c r="U30" s="8">
        <f>-1*((RawData!U29-AVERAGE(RawData!$U$3:$U$40))/STDEV(RawData!$U$3:$U$40))</f>
        <v>-0.64442408193123646</v>
      </c>
      <c r="V30" s="8">
        <f>-1*((RawData!V29-AVERAGE(RawData!$V$3:$V$40))/STDEV(RawData!$V$3:$V$40))</f>
        <v>2.1633170902516534</v>
      </c>
      <c r="W30" s="8">
        <f>-1*((RawData!W29-AVERAGE(RawData!$W$3:$W$40))/STDEV(RawData!$W$3:$W$40))</f>
        <v>-0.31696089757527524</v>
      </c>
      <c r="X30" s="8">
        <f>-1*((RawData!X29-AVERAGE(RawData!$X$3:$X$40))/STDEV(RawData!$X$3:$X$40))</f>
        <v>-0.93671257089928062</v>
      </c>
      <c r="Y30" s="8">
        <f>((RawData!Y29-AVERAGE(RawData!$Y$3:$Y$40))/STDEV(RawData!$Y$3:$Y$40))</f>
        <v>0.77803320546703625</v>
      </c>
      <c r="Z30" s="8">
        <f>((RawData!Z29-AVERAGE(RawData!$Z$3:$Z$40))/STDEV(RawData!$Z$3:$Z$40))</f>
        <v>0.18465614162816085</v>
      </c>
      <c r="AA30" s="8">
        <f>-1*((RawData!AA29-AVERAGE(RawData!$AA$3:$AA$40))/STDEV(RawData!$AA$3:$AA$40))</f>
        <v>-7.219593173741698E-2</v>
      </c>
      <c r="AB30" s="8">
        <f>-1*((RawData!AB29-AVERAGE(RawData!$AB$3:$AB$40))/STDEV(RawData!$AB$3:$AB$40))</f>
        <v>0.4427560587692117</v>
      </c>
      <c r="AC30" s="8">
        <f>-1*((RawData!AC29-AVERAGE(RawData!$AC$3:$AC$40))/STDEV(RawData!$AC$3:$AC$40))</f>
        <v>1.4524631227012332</v>
      </c>
      <c r="AD30" s="8">
        <f>-1*((RawData!AD29-AVERAGE(RawData!$AD$3:$AD$40))/STDEV(RawData!$AD$3:$AD$40))</f>
        <v>-0.42727718108235579</v>
      </c>
      <c r="AE30" s="8">
        <f>-1*((RawData!AE29-AVERAGE(RawData!$AE$3:$AE$40))/STDEV(RawData!$AE$3:$AE$40))</f>
        <v>1.0401304461601151</v>
      </c>
      <c r="AF30" s="8">
        <f>-1*((RawData!AF29-AVERAGE(RawData!$AF$3:$AF$40))/STDEV(RawData!$AF$3:$AF$40))</f>
        <v>0.58969853391564031</v>
      </c>
      <c r="AG30" s="8">
        <f>-1*((RawData!AG29-AVERAGE(RawData!$AG$3:$AG$40))/STDEV(RawData!$AG$3:$AG$40))</f>
        <v>0.79687605162132791</v>
      </c>
      <c r="AH30" s="8">
        <f>((RawData!AH29-AVERAGE(RawData!$AH$3:$AH$40))/STDEV(RawData!$AH$3:$AH$40))</f>
        <v>0.32819244752489102</v>
      </c>
      <c r="AI30" s="8">
        <f>((RawData!AI29-AVERAGE(RawData!$AI$3:$AI$40))/STDEV(RawData!$AI$3:$AI$40))</f>
        <v>0.55436815918081928</v>
      </c>
      <c r="AJ30" s="8">
        <f>-1*((RawData!AJ29-AVERAGE(RawData!$AJ$3:$AJ$40))/STDEV(RawData!$AJ$3:$AJ$40))</f>
        <v>-0.98675438206593025</v>
      </c>
      <c r="AK30" s="8">
        <f>-1*((RawData!AK29-AVERAGE(RawData!$AK$3:$AK$40))/STDEV(RawData!$AK$3:$AK$40))</f>
        <v>2.0564263162056569</v>
      </c>
      <c r="AL30" s="8">
        <f>-1*((RawData!AL29-AVERAGE(RawData!$AL$3:$AL$40))/STDEV(RawData!$AL$3:$AL$40))</f>
        <v>1.2947279432416416</v>
      </c>
      <c r="AM30" s="8">
        <f>-1*((RawData!AM29-AVERAGE(RawData!$AM$3:$AM$40))/STDEV(RawData!$AM$3:$AM$40))</f>
        <v>1.7746140493618718</v>
      </c>
      <c r="AN30" s="8">
        <f>((RawData!AN29-AVERAGE(RawData!$AN$3:$AN$40))/STDEV(RawData!$AN$3:$AN$40))</f>
        <v>-0.48428512428993259</v>
      </c>
      <c r="AO30" s="8">
        <f>-1*((RawData!AO29-AVERAGE(RawData!$AO$3:$AO$40))/STDEV(RawData!$AO$3:$AO$40))</f>
        <v>0.61642057643857884</v>
      </c>
      <c r="AP30" s="8">
        <f>-1*((RawData!AP29-AVERAGE(RawData!$AP$3:$AP$40))/STDEV(RawData!$AP$3:$AP$40))</f>
        <v>-0.48376742656450294</v>
      </c>
      <c r="AQ30" s="8">
        <f>-1*((RawData!AQ29-AVERAGE(RawData!$AQ$3:$AQ$40))/STDEV(RawData!$AQ$3:$AQ$40))</f>
        <v>1.5732719306446126</v>
      </c>
    </row>
    <row r="31" spans="1:43" x14ac:dyDescent="0.3">
      <c r="A31" s="6" t="str">
        <f>RawData!A30</f>
        <v>Mexico</v>
      </c>
      <c r="B31" s="8">
        <f>-1*((RawData!B30-AVERAGE(RawData!$B$3:$B$40))/STDEV(RawData!$B$3:$B$40))</f>
        <v>-1.0631397029979017</v>
      </c>
      <c r="C31" s="8">
        <f>((RawData!C30-AVERAGE(RawData!$C$3:$C$40))/STDEV(RawData!$C$3:$C$40))</f>
        <v>-0.24662997877514239</v>
      </c>
      <c r="D31" s="8">
        <f>((RawData!D30-AVERAGE(RawData!$D$3:$D$40))/STDEV(RawData!$D$3:$D$40))</f>
        <v>-0.93254949272232857</v>
      </c>
      <c r="E31" s="8">
        <f>((RawData!E30-AVERAGE(RawData!$E$3:$E$40))/STDEV(RawData!$E$3:$E$40))</f>
        <v>-0.75768886768106802</v>
      </c>
      <c r="F31" s="8">
        <f>((RawData!F30-AVERAGE(RawData!$F$3:$F$40))/STDEV(RawData!$F$3:$F$40))</f>
        <v>0.68079763353952782</v>
      </c>
      <c r="G31" s="8">
        <f>((RawData!G30-AVERAGE(RawData!$G$3:$G$40))/STDEV(RawData!$G$3:$G$40))</f>
        <v>0.15973587833273001</v>
      </c>
      <c r="H31" s="8">
        <f>((RawData!H30-AVERAGE(RawData!$H$3:$H$40))/STDEV(RawData!$H$3:$H$40))</f>
        <v>-0.26625610322561188</v>
      </c>
      <c r="I31" s="8">
        <f>((RawData!I30-AVERAGE(RawData!$I$3:$I$40))/STDEV(RawData!$I$3:$I$40))</f>
        <v>-0.38409362229254129</v>
      </c>
      <c r="J31" s="8">
        <f>-1*((RawData!J30-AVERAGE(RawData!$J$3:$J$40))/STDEV(RawData!$J$3:$J$40))</f>
        <v>0.9361174015441035</v>
      </c>
      <c r="K31" s="8">
        <f>-1*((RawData!K30-AVERAGE(RawData!$K$3:$K$40))/STDEV(RawData!$K$3:$K$40))</f>
        <v>0.91804137832471511</v>
      </c>
      <c r="L31" s="8">
        <f>-1*((RawData!L30-AVERAGE(RawData!$L$3:$L$40))/STDEV(RawData!$L$3:$L$40))</f>
        <v>0.6703675950928768</v>
      </c>
      <c r="M31" s="8">
        <f>-1*((RawData!M30-AVERAGE(RawData!$M$3:$M$40))/STDEV(RawData!$M$3:$M$40))</f>
        <v>1.3362263834070349</v>
      </c>
      <c r="N31" s="8">
        <f>-1*((RawData!N30-AVERAGE(RawData!$N$3:$N$40))/STDEV(RawData!$N$3:$N$40))</f>
        <v>0.33845396081495521</v>
      </c>
      <c r="O31" s="8">
        <f>-1*((AbsValues!B30-AVERAGE(AbsValues!$B$3:$B$40))/STDEV(AbsValues!$B$3:$B$40))</f>
        <v>9.2665824749742026E-2</v>
      </c>
      <c r="P31" s="8">
        <f>-1*((RawData!P30-AVERAGE(RawData!$P$3:$P$40))/STDEV(RawData!$P$3:$P$40))</f>
        <v>1.1993016076044607</v>
      </c>
      <c r="Q31" s="8">
        <f>-1*((RawData!Q30-AVERAGE(RawData!$Q$3:$Q$40))/STDEV(RawData!$Q$3:$Q$40))</f>
        <v>-1.6533678575024711</v>
      </c>
      <c r="R31" s="8">
        <f>-1*((RawData!R30-AVERAGE(RawData!$R$3:$R$40))/STDEV(RawData!$R$3:$R$40))</f>
        <v>0.21228332048046011</v>
      </c>
      <c r="S31" s="8">
        <f>-1*((RawData!S30-AVERAGE(RawData!$S$3:$S$40))/STDEV(RawData!$S$3:$S$40))</f>
        <v>0.33845396081495521</v>
      </c>
      <c r="T31" s="8">
        <f>-1*((AbsValues!C30-AVERAGE(AbsValues!$C$3:$C$40))/STDEV(AbsValues!$C$3:$C$40))</f>
        <v>-0.93316586829031833</v>
      </c>
      <c r="U31" s="8">
        <f>-1*((RawData!U30-AVERAGE(RawData!$U$3:$U$40))/STDEV(RawData!$U$3:$U$40))</f>
        <v>0.75472391398481786</v>
      </c>
      <c r="V31" s="8">
        <f>-1*((RawData!V30-AVERAGE(RawData!$V$3:$V$40))/STDEV(RawData!$V$3:$V$40))</f>
        <v>0.66332985983261283</v>
      </c>
      <c r="W31" s="8">
        <f>-1*((RawData!W30-AVERAGE(RawData!$W$3:$W$40))/STDEV(RawData!$W$3:$W$40))</f>
        <v>0.64506099602380218</v>
      </c>
      <c r="X31" s="8">
        <f>-1*((RawData!X30-AVERAGE(RawData!$X$3:$X$40))/STDEV(RawData!$X$3:$X$40))</f>
        <v>1.1513215097767115</v>
      </c>
      <c r="Y31" s="8">
        <f>((RawData!Y30-AVERAGE(RawData!$Y$3:$Y$40))/STDEV(RawData!$Y$3:$Y$40))</f>
        <v>-1.6553598819519317</v>
      </c>
      <c r="Z31" s="8">
        <f>((RawData!Z30-AVERAGE(RawData!$Z$3:$Z$40))/STDEV(RawData!$Z$3:$Z$40))</f>
        <v>0.18465614162816085</v>
      </c>
      <c r="AA31" s="8">
        <f>-1*((RawData!AA30-AVERAGE(RawData!$AA$3:$AA$40))/STDEV(RawData!$AA$3:$AA$40))</f>
        <v>0.71316546761227262</v>
      </c>
      <c r="AB31" s="8">
        <f>-1*((RawData!AB30-AVERAGE(RawData!$AB$3:$AB$40))/STDEV(RawData!$AB$3:$AB$40))</f>
        <v>0.4427560587692117</v>
      </c>
      <c r="AC31" s="8">
        <f>-1*((RawData!AC30-AVERAGE(RawData!$AC$3:$AC$40))/STDEV(RawData!$AC$3:$AC$40))</f>
        <v>1.4524631227012332</v>
      </c>
      <c r="AD31" s="8">
        <f>-1*((RawData!AD30-AVERAGE(RawData!$AD$3:$AD$40))/STDEV(RawData!$AD$3:$AD$40))</f>
        <v>-0.42727718108235579</v>
      </c>
      <c r="AE31" s="8">
        <f>-1*((RawData!AE30-AVERAGE(RawData!$AE$3:$AE$40))/STDEV(RawData!$AE$3:$AE$40))</f>
        <v>1.0401304461601151</v>
      </c>
      <c r="AF31" s="8">
        <f>-1*((RawData!AF30-AVERAGE(RawData!$AF$3:$AF$40))/STDEV(RawData!$AF$3:$AF$40))</f>
        <v>0.58969853391564031</v>
      </c>
      <c r="AG31" s="8">
        <f>-1*((RawData!AG30-AVERAGE(RawData!$AG$3:$AG$40))/STDEV(RawData!$AG$3:$AG$40))</f>
        <v>0.79687605162132791</v>
      </c>
      <c r="AH31" s="8">
        <f>((RawData!AH30-AVERAGE(RawData!$AH$3:$AH$40))/STDEV(RawData!$AH$3:$AH$40))</f>
        <v>-3.3615451281987254</v>
      </c>
      <c r="AI31" s="8">
        <f>((RawData!AI30-AVERAGE(RawData!$AI$3:$AI$40))/STDEV(RawData!$AI$3:$AI$40))</f>
        <v>-1.9852328111472262</v>
      </c>
      <c r="AJ31" s="8">
        <f>-1*((RawData!AJ30-AVERAGE(RawData!$AJ$3:$AJ$40))/STDEV(RawData!$AJ$3:$AJ$40))</f>
        <v>0.98675438206593025</v>
      </c>
      <c r="AK31" s="8">
        <f>-1*((RawData!AK30-AVERAGE(RawData!$AK$3:$AK$40))/STDEV(RawData!$AK$3:$AK$40))</f>
        <v>1.0523828620421973</v>
      </c>
      <c r="AL31" s="8">
        <f>-1*((RawData!AL30-AVERAGE(RawData!$AL$3:$AL$40))/STDEV(RawData!$AL$3:$AL$40))</f>
        <v>-1.7615855786627688</v>
      </c>
      <c r="AM31" s="8">
        <f>-1*((RawData!AM30-AVERAGE(RawData!$AM$3:$AM$40))/STDEV(RawData!$AM$3:$AM$40))</f>
        <v>-1.7547382234047117</v>
      </c>
      <c r="AN31" s="8">
        <f>((RawData!AN30-AVERAGE(RawData!$AN$3:$AN$40))/STDEV(RawData!$AN$3:$AN$40))</f>
        <v>-0.59695554096146797</v>
      </c>
      <c r="AO31" s="8">
        <f>-1*((RawData!AO30-AVERAGE(RawData!$AO$3:$AO$40))/STDEV(RawData!$AO$3:$AO$40))</f>
        <v>-1.3355779146409208</v>
      </c>
      <c r="AP31" s="8">
        <f>-1*((RawData!AP30-AVERAGE(RawData!$AP$3:$AP$40))/STDEV(RawData!$AP$3:$AP$40))</f>
        <v>-0.48376742656450294</v>
      </c>
      <c r="AQ31" s="8">
        <f>-1*((RawData!AQ30-AVERAGE(RawData!$AQ$3:$AQ$40))/STDEV(RawData!$AQ$3:$AQ$40))</f>
        <v>1.5732719306446126</v>
      </c>
    </row>
    <row r="32" spans="1:43" x14ac:dyDescent="0.3">
      <c r="A32" s="6" t="str">
        <f>RawData!A31</f>
        <v>Netherlands</v>
      </c>
      <c r="B32" s="8">
        <f>-1*((RawData!B31-AVERAGE(RawData!$B$3:$B$40))/STDEV(RawData!$B$3:$B$40))</f>
        <v>-0.2933946498956978</v>
      </c>
      <c r="C32" s="8">
        <f>((RawData!C31-AVERAGE(RawData!$C$3:$C$40))/STDEV(RawData!$C$3:$C$40))</f>
        <v>-0.2244740941570445</v>
      </c>
      <c r="D32" s="8">
        <f>((RawData!D31-AVERAGE(RawData!$D$3:$D$40))/STDEV(RawData!$D$3:$D$40))</f>
        <v>8.2361350322055812E-2</v>
      </c>
      <c r="E32" s="8">
        <f>((RawData!E31-AVERAGE(RawData!$E$3:$E$40))/STDEV(RawData!$E$3:$E$40))</f>
        <v>-0.53316667057694755</v>
      </c>
      <c r="F32" s="8">
        <f>((RawData!F31-AVERAGE(RawData!$F$3:$F$40))/STDEV(RawData!$F$3:$F$40))</f>
        <v>-0.82888335727583051</v>
      </c>
      <c r="G32" s="8">
        <f>((RawData!G31-AVERAGE(RawData!$G$3:$G$40))/STDEV(RawData!$G$3:$G$40))</f>
        <v>0.5816106691306967</v>
      </c>
      <c r="H32" s="8">
        <f>((RawData!H31-AVERAGE(RawData!$H$3:$H$40))/STDEV(RawData!$H$3:$H$40))</f>
        <v>1.1791341714277106</v>
      </c>
      <c r="I32" s="8">
        <f>((RawData!I31-AVERAGE(RawData!$I$3:$I$40))/STDEV(RawData!$I$3:$I$40))</f>
        <v>-0.38409362229254129</v>
      </c>
      <c r="J32" s="8">
        <f>-1*((RawData!J31-AVERAGE(RawData!$J$3:$J$40))/STDEV(RawData!$J$3:$J$40))</f>
        <v>-1.0401304461601153</v>
      </c>
      <c r="K32" s="8">
        <f>-1*((RawData!K31-AVERAGE(RawData!$K$3:$K$40))/STDEV(RawData!$K$3:$K$40))</f>
        <v>-0.57017626382777209</v>
      </c>
      <c r="L32" s="8">
        <f>-1*((RawData!L31-AVERAGE(RawData!$L$3:$L$40))/STDEV(RawData!$L$3:$L$40))</f>
        <v>0.6703675950928768</v>
      </c>
      <c r="M32" s="8">
        <f>-1*((RawData!M31-AVERAGE(RawData!$M$3:$M$40))/STDEV(RawData!$M$3:$M$40))</f>
        <v>-9.4100449535706648E-2</v>
      </c>
      <c r="N32" s="8">
        <f>-1*((RawData!N31-AVERAGE(RawData!$N$3:$N$40))/STDEV(RawData!$N$3:$N$40))</f>
        <v>0.33845396081495521</v>
      </c>
      <c r="O32" s="8">
        <f>-1*((AbsValues!B31-AVERAGE(AbsValues!$B$3:$B$40))/STDEV(AbsValues!$B$3:$B$40))</f>
        <v>0.57950957770677525</v>
      </c>
      <c r="P32" s="8">
        <f>-1*((RawData!P31-AVERAGE(RawData!$P$3:$P$40))/STDEV(RawData!$P$3:$P$40))</f>
        <v>-0.57929325107339968</v>
      </c>
      <c r="Q32" s="8">
        <f>-1*((RawData!Q31-AVERAGE(RawData!$Q$3:$Q$40))/STDEV(RawData!$Q$3:$Q$40))</f>
        <v>0.62512482920171453</v>
      </c>
      <c r="R32" s="8">
        <f>-1*((RawData!R31-AVERAGE(RawData!$R$3:$R$40))/STDEV(RawData!$R$3:$R$40))</f>
        <v>-1.05880192280288</v>
      </c>
      <c r="S32" s="8">
        <f>-1*((RawData!S31-AVERAGE(RawData!$S$3:$S$40))/STDEV(RawData!$S$3:$S$40))</f>
        <v>0.33845396081495521</v>
      </c>
      <c r="T32" s="8">
        <f>-1*((AbsValues!C31-AVERAGE(AbsValues!$C$3:$C$40))/STDEV(AbsValues!$C$3:$C$40))</f>
        <v>0.32073762283238327</v>
      </c>
      <c r="U32" s="8">
        <f>-1*((RawData!U31-AVERAGE(RawData!$U$3:$U$40))/STDEV(RawData!$U$3:$U$40))</f>
        <v>-1.2116462424377452</v>
      </c>
      <c r="V32" s="8">
        <f>-1*((RawData!V31-AVERAGE(RawData!$V$3:$V$40))/STDEV(RawData!$V$3:$V$40))</f>
        <v>-0.54915984069341928</v>
      </c>
      <c r="W32" s="8">
        <f>-1*((RawData!W31-AVERAGE(RawData!$W$3:$W$40))/STDEV(RawData!$W$3:$W$40))</f>
        <v>-0.31696089757527524</v>
      </c>
      <c r="X32" s="8">
        <f>-1*((RawData!X31-AVERAGE(RawData!$X$3:$X$40))/STDEV(RawData!$X$3:$X$40))</f>
        <v>0.60206171337819281</v>
      </c>
      <c r="Y32" s="8">
        <f>((RawData!Y31-AVERAGE(RawData!$Y$3:$Y$40))/STDEV(RawData!$Y$3:$Y$40))</f>
        <v>-4.9700151235551063E-2</v>
      </c>
      <c r="Z32" s="8">
        <f>((RawData!Z31-AVERAGE(RawData!$Z$3:$Z$40))/STDEV(RawData!$Z$3:$Z$40))</f>
        <v>0.18465614162816085</v>
      </c>
      <c r="AA32" s="8">
        <f>-1*((RawData!AA31-AVERAGE(RawData!$AA$3:$AA$40))/STDEV(RawData!$AA$3:$AA$40))</f>
        <v>-0.20328660816963998</v>
      </c>
      <c r="AB32" s="8">
        <f>-1*((RawData!AB31-AVERAGE(RawData!$AB$3:$AB$40))/STDEV(RawData!$AB$3:$AB$40))</f>
        <v>0.4427560587692117</v>
      </c>
      <c r="AC32" s="8">
        <f>-1*((RawData!AC31-AVERAGE(RawData!$AC$3:$AC$40))/STDEV(RawData!$AC$3:$AC$40))</f>
        <v>-0.6703675950928768</v>
      </c>
      <c r="AD32" s="8">
        <f>-1*((RawData!AD31-AVERAGE(RawData!$AD$3:$AD$40))/STDEV(RawData!$AD$3:$AD$40))</f>
        <v>-0.42727718108235579</v>
      </c>
      <c r="AE32" s="8">
        <f>-1*((RawData!AE31-AVERAGE(RawData!$AE$3:$AE$40))/STDEV(RawData!$AE$3:$AE$40))</f>
        <v>-0.93611740154410361</v>
      </c>
      <c r="AF32" s="8">
        <f>-1*((RawData!AF31-AVERAGE(RawData!$AF$3:$AF$40))/STDEV(RawData!$AF$3:$AF$40))</f>
        <v>0.58969853391564031</v>
      </c>
      <c r="AG32" s="8">
        <f>-1*((RawData!AG31-AVERAGE(RawData!$AG$3:$AG$40))/STDEV(RawData!$AG$3:$AG$40))</f>
        <v>0.79687605162132791</v>
      </c>
      <c r="AH32" s="8">
        <f>((RawData!AH31-AVERAGE(RawData!$AH$3:$AH$40))/STDEV(RawData!$AH$3:$AH$40))</f>
        <v>0.32819244752489102</v>
      </c>
      <c r="AI32" s="8">
        <f>((RawData!AI31-AVERAGE(RawData!$AI$3:$AI$40))/STDEV(RawData!$AI$3:$AI$40))</f>
        <v>0.55436815918081928</v>
      </c>
      <c r="AJ32" s="8">
        <f>-1*((RawData!AJ31-AVERAGE(RawData!$AJ$3:$AJ$40))/STDEV(RawData!$AJ$3:$AJ$40))</f>
        <v>0.98675438206593025</v>
      </c>
      <c r="AK32" s="8">
        <f>-1*((RawData!AK31-AVERAGE(RawData!$AK$3:$AK$40))/STDEV(RawData!$AK$3:$AK$40))</f>
        <v>0.5503611349604679</v>
      </c>
      <c r="AL32" s="8">
        <f>-1*((RawData!AL31-AVERAGE(RawData!$AL$3:$AL$40))/STDEV(RawData!$AL$3:$AL$40))</f>
        <v>1.2947279432416416</v>
      </c>
      <c r="AM32" s="8">
        <f>-1*((RawData!AM31-AVERAGE(RawData!$AM$3:$AM$40))/STDEV(RawData!$AM$3:$AM$40))</f>
        <v>1.7746140493618718</v>
      </c>
      <c r="AN32" s="8">
        <f>((RawData!AN31-AVERAGE(RawData!$AN$3:$AN$40))/STDEV(RawData!$AN$3:$AN$40))</f>
        <v>0.7926462646541349</v>
      </c>
      <c r="AO32" s="8">
        <f>-1*((RawData!AO31-AVERAGE(RawData!$AO$3:$AO$40))/STDEV(RawData!$AO$3:$AO$40))</f>
        <v>0.61642057643857884</v>
      </c>
      <c r="AP32" s="8">
        <f>-1*((RawData!AP31-AVERAGE(RawData!$AP$3:$AP$40))/STDEV(RawData!$AP$3:$AP$40))</f>
        <v>-0.48376742656450294</v>
      </c>
      <c r="AQ32" s="8">
        <f>-1*((RawData!AQ31-AVERAGE(RawData!$AQ$3:$AQ$40))/STDEV(RawData!$AQ$3:$AQ$40))</f>
        <v>-0.6827406491476623</v>
      </c>
    </row>
    <row r="33" spans="1:43" x14ac:dyDescent="0.3">
      <c r="A33" s="6" t="str">
        <f>RawData!A32</f>
        <v>Norway</v>
      </c>
      <c r="B33" s="8">
        <f>-1*((RawData!B32-AVERAGE(RawData!$B$3:$B$40))/STDEV(RawData!$B$3:$B$40))</f>
        <v>0.40304135053010626</v>
      </c>
      <c r="C33" s="8">
        <f>((RawData!C32-AVERAGE(RawData!$C$3:$C$40))/STDEV(RawData!$C$3:$C$40))</f>
        <v>-0.24662997877514239</v>
      </c>
      <c r="D33" s="8">
        <f>((RawData!D32-AVERAGE(RawData!$D$3:$D$40))/STDEV(RawData!$D$3:$D$40))</f>
        <v>1.3509999041275362</v>
      </c>
      <c r="E33" s="8">
        <f>((RawData!E32-AVERAGE(RawData!$E$3:$E$40))/STDEV(RawData!$E$3:$E$40))</f>
        <v>-0.92261724966265135</v>
      </c>
      <c r="F33" s="8">
        <f>((RawData!F32-AVERAGE(RawData!$F$3:$F$40))/STDEV(RawData!$F$3:$F$40))</f>
        <v>-0.64560453860517242</v>
      </c>
      <c r="G33" s="8">
        <f>((RawData!G32-AVERAGE(RawData!$G$3:$G$40))/STDEV(RawData!$G$3:$G$40))</f>
        <v>-0.16428036293842818</v>
      </c>
      <c r="H33" s="8">
        <f>((RawData!H32-AVERAGE(RawData!$H$3:$H$40))/STDEV(RawData!$H$3:$H$40))</f>
        <v>-1.7116463778789344</v>
      </c>
      <c r="I33" s="8">
        <f>((RawData!I32-AVERAGE(RawData!$I$3:$I$40))/STDEV(RawData!$I$3:$I$40))</f>
        <v>-0.38409362229254129</v>
      </c>
      <c r="J33" s="8">
        <f>-1*((RawData!J32-AVERAGE(RawData!$J$3:$J$40))/STDEV(RawData!$J$3:$J$40))</f>
        <v>0.9361174015441035</v>
      </c>
      <c r="K33" s="8">
        <f>-1*((RawData!K32-AVERAGE(RawData!$K$3:$K$40))/STDEV(RawData!$K$3:$K$40))</f>
        <v>-0.52640515670564003</v>
      </c>
      <c r="L33" s="8">
        <f>-1*((RawData!L32-AVERAGE(RawData!$L$3:$L$40))/STDEV(RawData!$L$3:$L$40))</f>
        <v>0.6703675950928768</v>
      </c>
      <c r="M33" s="8">
        <f>-1*((RawData!M32-AVERAGE(RawData!$M$3:$M$40))/STDEV(RawData!$M$3:$M$40))</f>
        <v>0.6210629669356641</v>
      </c>
      <c r="N33" s="8">
        <f>-1*((RawData!N32-AVERAGE(RawData!$N$3:$N$40))/STDEV(RawData!$N$3:$N$40))</f>
        <v>0.33845396081495521</v>
      </c>
      <c r="O33" s="8">
        <f>-1*((AbsValues!B32-AVERAGE(AbsValues!$B$3:$B$40))/STDEV(AbsValues!$B$3:$B$40))</f>
        <v>0.59391264411659439</v>
      </c>
      <c r="P33" s="8">
        <f>-1*((RawData!P32-AVERAGE(RawData!$P$3:$P$40))/STDEV(RawData!$P$3:$P$40))</f>
        <v>-0.13497834850021034</v>
      </c>
      <c r="Q33" s="8">
        <f>-1*((RawData!Q32-AVERAGE(RawData!$Q$3:$Q$40))/STDEV(RawData!$Q$3:$Q$40))</f>
        <v>0.56721611119003779</v>
      </c>
      <c r="R33" s="8">
        <f>-1*((RawData!R32-AVERAGE(RawData!$R$3:$R$40))/STDEV(RawData!$R$3:$R$40))</f>
        <v>-0.2687448490151812</v>
      </c>
      <c r="S33" s="8">
        <f>-1*((RawData!S32-AVERAGE(RawData!$S$3:$S$40))/STDEV(RawData!$S$3:$S$40))</f>
        <v>0.33845396081495521</v>
      </c>
      <c r="T33" s="8">
        <f>-1*((AbsValues!C32-AVERAGE(AbsValues!$C$3:$C$40))/STDEV(AbsValues!$C$3:$C$40))</f>
        <v>0.32073762283238327</v>
      </c>
      <c r="U33" s="8">
        <f>-1*((RawData!U32-AVERAGE(RawData!$U$3:$U$40))/STDEV(RawData!$U$3:$U$40))</f>
        <v>-1.3477795609593075</v>
      </c>
      <c r="V33" s="8">
        <f>-1*((RawData!V32-AVERAGE(RawData!$V$3:$V$40))/STDEV(RawData!$V$3:$V$40))</f>
        <v>-1.1476547506180741</v>
      </c>
      <c r="W33" s="8">
        <f>-1*((RawData!W32-AVERAGE(RawData!$W$3:$W$40))/STDEV(RawData!$W$3:$W$40))</f>
        <v>-1.0865784124545372</v>
      </c>
      <c r="X33" s="8">
        <f>-1*((RawData!X32-AVERAGE(RawData!$X$3:$X$40))/STDEV(RawData!$X$3:$X$40))</f>
        <v>1.0400246559672917</v>
      </c>
      <c r="Y33" s="8">
        <f>((RawData!Y32-AVERAGE(RawData!$Y$3:$Y$40))/STDEV(RawData!$Y$3:$Y$40))</f>
        <v>8.9567141754526097E-2</v>
      </c>
      <c r="Z33" s="8">
        <f>((RawData!Z32-AVERAGE(RawData!$Z$3:$Z$40))/STDEV(RawData!$Z$3:$Z$40))</f>
        <v>0.18465614162816085</v>
      </c>
      <c r="AA33" s="8">
        <f>-1*((RawData!AA32-AVERAGE(RawData!$AA$3:$AA$40))/STDEV(RawData!$AA$3:$AA$40))</f>
        <v>0.68658260954590422</v>
      </c>
      <c r="AB33" s="8">
        <f>-1*((RawData!AB32-AVERAGE(RawData!$AB$3:$AB$40))/STDEV(RawData!$AB$3:$AB$40))</f>
        <v>-2.6162858018180688</v>
      </c>
      <c r="AC33" s="8">
        <f>-1*((RawData!AC32-AVERAGE(RawData!$AC$3:$AC$40))/STDEV(RawData!$AC$3:$AC$40))</f>
        <v>1.4524631227012332</v>
      </c>
      <c r="AD33" s="8">
        <f>-1*((RawData!AD32-AVERAGE(RawData!$AD$3:$AD$40))/STDEV(RawData!$AD$3:$AD$40))</f>
        <v>-0.42727718108235579</v>
      </c>
      <c r="AE33" s="8">
        <f>-1*((RawData!AE32-AVERAGE(RawData!$AE$3:$AE$40))/STDEV(RawData!$AE$3:$AE$40))</f>
        <v>1.0401304461601151</v>
      </c>
      <c r="AF33" s="8">
        <f>-1*((RawData!AF32-AVERAGE(RawData!$AF$3:$AF$40))/STDEV(RawData!$AF$3:$AF$40))</f>
        <v>0.58969853391564031</v>
      </c>
      <c r="AG33" s="8">
        <f>-1*((RawData!AG32-AVERAGE(RawData!$AG$3:$AG$40))/STDEV(RawData!$AG$3:$AG$40))</f>
        <v>0.79687605162132791</v>
      </c>
      <c r="AH33" s="8">
        <f>((RawData!AH32-AVERAGE(RawData!$AH$3:$AH$40))/STDEV(RawData!$AH$3:$AH$40))</f>
        <v>0.21750032025318244</v>
      </c>
      <c r="AI33" s="8">
        <f>((RawData!AI32-AVERAGE(RawData!$AI$3:$AI$40))/STDEV(RawData!$AI$3:$AI$40))</f>
        <v>0.55436815918081928</v>
      </c>
      <c r="AJ33" s="8">
        <f>-1*((RawData!AJ32-AVERAGE(RawData!$AJ$3:$AJ$40))/STDEV(RawData!$AJ$3:$AJ$40))</f>
        <v>-0.98675438206593025</v>
      </c>
      <c r="AK33" s="8">
        <f>-1*((RawData!AK32-AVERAGE(RawData!$AK$3:$AK$40))/STDEV(RawData!$AK$3:$AK$40))</f>
        <v>-0.45368231920299124</v>
      </c>
      <c r="AL33" s="8">
        <f>-1*((RawData!AL32-AVERAGE(RawData!$AL$3:$AL$40))/STDEV(RawData!$AL$3:$AL$40))</f>
        <v>1.2947279432416416</v>
      </c>
      <c r="AM33" s="8">
        <f>-1*((RawData!AM32-AVERAGE(RawData!$AM$3:$AM$40))/STDEV(RawData!$AM$3:$AM$40))</f>
        <v>1.7746140493618718</v>
      </c>
      <c r="AN33" s="8">
        <f>((RawData!AN32-AVERAGE(RawData!$AN$3:$AN$40))/STDEV(RawData!$AN$3:$AN$40))</f>
        <v>0.26685098685363651</v>
      </c>
      <c r="AO33" s="8">
        <f>-1*((RawData!AO32-AVERAGE(RawData!$AO$3:$AO$40))/STDEV(RawData!$AO$3:$AO$40))</f>
        <v>-0.35957866910117098</v>
      </c>
      <c r="AP33" s="8">
        <f>-1*((RawData!AP32-AVERAGE(RawData!$AP$3:$AP$40))/STDEV(RawData!$AP$3:$AP$40))</f>
        <v>-0.48376742656450294</v>
      </c>
      <c r="AQ33" s="8">
        <f>-1*((RawData!AQ32-AVERAGE(RawData!$AQ$3:$AQ$40))/STDEV(RawData!$AQ$3:$AQ$40))</f>
        <v>-0.6827406491476623</v>
      </c>
    </row>
    <row r="34" spans="1:43" x14ac:dyDescent="0.3">
      <c r="A34" s="6" t="str">
        <f>RawData!A33</f>
        <v>New Zealand</v>
      </c>
      <c r="B34" s="8">
        <f>-1*((RawData!B33-AVERAGE(RawData!$B$3:$B$40))/STDEV(RawData!$B$3:$B$40))</f>
        <v>-0.6965944396159004</v>
      </c>
      <c r="C34" s="8">
        <f>((RawData!C33-AVERAGE(RawData!$C$3:$C$40))/STDEV(RawData!$C$3:$C$40))</f>
        <v>-0.24662997877514239</v>
      </c>
      <c r="D34" s="8">
        <f>((RawData!D33-AVERAGE(RawData!$D$3:$D$40))/STDEV(RawData!$D$3:$D$40))</f>
        <v>1.3509999041275362</v>
      </c>
      <c r="E34" s="8">
        <f>((RawData!E33-AVERAGE(RawData!$E$3:$E$40))/STDEV(RawData!$E$3:$E$40))</f>
        <v>-1.3796609887076452</v>
      </c>
      <c r="F34" s="8">
        <f>((RawData!F33-AVERAGE(RawData!$F$3:$F$40))/STDEV(RawData!$F$3:$F$40))</f>
        <v>-1.5450429450206979</v>
      </c>
      <c r="G34" s="8">
        <f>((RawData!G33-AVERAGE(RawData!$G$3:$G$40))/STDEV(RawData!$G$3:$G$40))</f>
        <v>-1.2377336162418462</v>
      </c>
      <c r="H34" s="8">
        <f>((RawData!H33-AVERAGE(RawData!$H$3:$H$40))/STDEV(RawData!$H$3:$H$40))</f>
        <v>-0.26625610322561188</v>
      </c>
      <c r="I34" s="8">
        <f>((RawData!I33-AVERAGE(RawData!$I$3:$I$40))/STDEV(RawData!$I$3:$I$40))</f>
        <v>-0.38409362229254129</v>
      </c>
      <c r="J34" s="8">
        <f>-1*((RawData!J33-AVERAGE(RawData!$J$3:$J$40))/STDEV(RawData!$J$3:$J$40))</f>
        <v>0.9361174015441035</v>
      </c>
      <c r="K34" s="8">
        <f>-1*((RawData!K33-AVERAGE(RawData!$K$3:$K$40))/STDEV(RawData!$K$3:$K$40))</f>
        <v>-0.17623629972858421</v>
      </c>
      <c r="L34" s="8">
        <f>-1*((RawData!L33-AVERAGE(RawData!$L$3:$L$40))/STDEV(RawData!$L$3:$L$40))</f>
        <v>0.6703675950928768</v>
      </c>
      <c r="M34" s="8">
        <f>-1*((RawData!M33-AVERAGE(RawData!$M$3:$M$40))/STDEV(RawData!$M$3:$M$40))</f>
        <v>1.3362263834070349</v>
      </c>
      <c r="N34" s="8">
        <f>-1*((RawData!N33-AVERAGE(RawData!$N$3:$N$40))/STDEV(RawData!$N$3:$N$40))</f>
        <v>0.33845396081495521</v>
      </c>
      <c r="O34" s="8">
        <f>-1*((AbsValues!B33-AVERAGE(AbsValues!$B$3:$B$40))/STDEV(AbsValues!$B$3:$B$40))</f>
        <v>-2.2456067534628135</v>
      </c>
      <c r="P34" s="8">
        <f>-1*((RawData!P33-AVERAGE(RawData!$P$3:$P$40))/STDEV(RawData!$P$3:$P$40))</f>
        <v>0.76888871853843743</v>
      </c>
      <c r="Q34" s="8">
        <f>-1*((RawData!Q33-AVERAGE(RawData!$Q$3:$Q$40))/STDEV(RawData!$Q$3:$Q$40))</f>
        <v>0.51582812829517843</v>
      </c>
      <c r="R34" s="8">
        <f>-1*((RawData!R33-AVERAGE(RawData!$R$3:$R$40))/STDEV(RawData!$R$3:$R$40))</f>
        <v>-1.2489227121968827</v>
      </c>
      <c r="S34" s="8">
        <f>-1*((RawData!S33-AVERAGE(RawData!$S$3:$S$40))/STDEV(RawData!$S$3:$S$40))</f>
        <v>0.33845396081495521</v>
      </c>
      <c r="T34" s="8">
        <f>-1*((AbsValues!C33-AVERAGE(AbsValues!$C$3:$C$40))/STDEV(AbsValues!$C$3:$C$40))</f>
        <v>0.32073762283238327</v>
      </c>
      <c r="U34" s="8">
        <f>-1*((RawData!U33-AVERAGE(RawData!$U$3:$U$40))/STDEV(RawData!$U$3:$U$40))</f>
        <v>1.5110201279934961</v>
      </c>
      <c r="V34" s="8">
        <f>-1*((RawData!V33-AVERAGE(RawData!$V$3:$V$40))/STDEV(RawData!$V$3:$V$40))</f>
        <v>0.826522884409713</v>
      </c>
      <c r="W34" s="8">
        <f>-1*((RawData!W33-AVERAGE(RawData!$W$3:$W$40))/STDEV(RawData!$W$3:$W$40))</f>
        <v>0.83746537474361771</v>
      </c>
      <c r="X34" s="8">
        <f>-1*((RawData!X33-AVERAGE(RawData!$X$3:$X$40))/STDEV(RawData!$X$3:$X$40))</f>
        <v>0.30783726473206297</v>
      </c>
      <c r="Y34" s="8">
        <f>((RawData!Y33-AVERAGE(RawData!$Y$3:$Y$40))/STDEV(RawData!$Y$3:$Y$40))</f>
        <v>3.2506298992030547</v>
      </c>
      <c r="Z34" s="8">
        <f>((RawData!Z33-AVERAGE(RawData!$Z$3:$Z$40))/STDEV(RawData!$Z$3:$Z$40))</f>
        <v>0.18465614162816085</v>
      </c>
      <c r="AA34" s="8">
        <f>-1*((RawData!AA33-AVERAGE(RawData!$AA$3:$AA$40))/STDEV(RawData!$AA$3:$AA$40))</f>
        <v>-0.8958110530716995</v>
      </c>
      <c r="AB34" s="8">
        <f>-1*((RawData!AB33-AVERAGE(RawData!$AB$3:$AB$40))/STDEV(RawData!$AB$3:$AB$40))</f>
        <v>0.4427560587692117</v>
      </c>
      <c r="AC34" s="8">
        <f>-1*((RawData!AC33-AVERAGE(RawData!$AC$3:$AC$40))/STDEV(RawData!$AC$3:$AC$40))</f>
        <v>1.4524631227012332</v>
      </c>
      <c r="AD34" s="8">
        <f>-1*((RawData!AD33-AVERAGE(RawData!$AD$3:$AD$40))/STDEV(RawData!$AD$3:$AD$40))</f>
        <v>2.27881163243923</v>
      </c>
      <c r="AE34" s="8">
        <f>-1*((RawData!AE33-AVERAGE(RawData!$AE$3:$AE$40))/STDEV(RawData!$AE$3:$AE$40))</f>
        <v>1.0401304461601151</v>
      </c>
      <c r="AF34" s="8">
        <f>-1*((RawData!AF33-AVERAGE(RawData!$AF$3:$AF$40))/STDEV(RawData!$AF$3:$AF$40))</f>
        <v>0.58969853391564031</v>
      </c>
      <c r="AG34" s="8">
        <f>-1*((RawData!AG33-AVERAGE(RawData!$AG$3:$AG$40))/STDEV(RawData!$AG$3:$AG$40))</f>
        <v>0.79687605162132791</v>
      </c>
      <c r="AH34" s="8">
        <f>((RawData!AH33-AVERAGE(RawData!$AH$3:$AH$40))/STDEV(RawData!$AH$3:$AH$40))</f>
        <v>0.32819244752489102</v>
      </c>
      <c r="AI34" s="8">
        <f>((RawData!AI33-AVERAGE(RawData!$AI$3:$AI$40))/STDEV(RawData!$AI$3:$AI$40))</f>
        <v>0.55436815918081928</v>
      </c>
      <c r="AJ34" s="8">
        <f>-1*((RawData!AJ33-AVERAGE(RawData!$AJ$3:$AJ$40))/STDEV(RawData!$AJ$3:$AJ$40))</f>
        <v>0.98675438206593025</v>
      </c>
      <c r="AK34" s="8">
        <f>-1*((RawData!AK33-AVERAGE(RawData!$AK$3:$AK$40))/STDEV(RawData!$AK$3:$AK$40))</f>
        <v>-0.95570404628472072</v>
      </c>
      <c r="AL34" s="8">
        <f>-1*((RawData!AL33-AVERAGE(RawData!$AL$3:$AL$40))/STDEV(RawData!$AL$3:$AL$40))</f>
        <v>-1.5120709003105757E-2</v>
      </c>
      <c r="AM34" s="8">
        <f>-1*((RawData!AM33-AVERAGE(RawData!$AM$3:$AM$40))/STDEV(RawData!$AM$3:$AM$40))</f>
        <v>0.26203450389047883</v>
      </c>
      <c r="AN34" s="8">
        <f>((RawData!AN33-AVERAGE(RawData!$AN$3:$AN$40))/STDEV(RawData!$AN$3:$AN$40))</f>
        <v>-1.3105348465478586</v>
      </c>
      <c r="AO34" s="8">
        <f>-1*((RawData!AO33-AVERAGE(RawData!$AO$3:$AO$40))/STDEV(RawData!$AO$3:$AO$40))</f>
        <v>0.61642057643857884</v>
      </c>
      <c r="AP34" s="8">
        <f>-1*((RawData!AP33-AVERAGE(RawData!$AP$3:$AP$40))/STDEV(RawData!$AP$3:$AP$40))</f>
        <v>1.5588061522633978</v>
      </c>
      <c r="AQ34" s="8">
        <f>-1*((RawData!AQ33-AVERAGE(RawData!$AQ$3:$AQ$40))/STDEV(RawData!$AQ$3:$AQ$40))</f>
        <v>-0.6827406491476623</v>
      </c>
    </row>
    <row r="35" spans="1:43" x14ac:dyDescent="0.3">
      <c r="A35" s="6" t="str">
        <f>RawData!A34</f>
        <v>Poland</v>
      </c>
      <c r="B35" s="8">
        <f>-1*((RawData!B34-AVERAGE(RawData!$B$3:$B$40))/STDEV(RawData!$B$3:$B$40))</f>
        <v>0.95285924560310931</v>
      </c>
      <c r="C35" s="8">
        <f>((RawData!C34-AVERAGE(RawData!$C$3:$C$40))/STDEV(RawData!$C$3:$C$40))</f>
        <v>-0.24662997877514239</v>
      </c>
      <c r="D35" s="8">
        <f>((RawData!D34-AVERAGE(RawData!$D$3:$D$40))/STDEV(RawData!$D$3:$D$40))</f>
        <v>-1.1228452757931506</v>
      </c>
      <c r="E35" s="8">
        <f>((RawData!E34-AVERAGE(RawData!$E$3:$E$40))/STDEV(RawData!$E$3:$E$40))</f>
        <v>-1.4632509676985157</v>
      </c>
      <c r="F35" s="8">
        <f>((RawData!F34-AVERAGE(RawData!$F$3:$F$40))/STDEV(RawData!$F$3:$F$40))</f>
        <v>-0.82888335727583051</v>
      </c>
      <c r="G35" s="8">
        <f>((RawData!G34-AVERAGE(RawData!$G$3:$G$40))/STDEV(RawData!$G$3:$G$40))</f>
        <v>0.5816106691306967</v>
      </c>
      <c r="H35" s="8">
        <f>((RawData!H34-AVERAGE(RawData!$H$3:$H$40))/STDEV(RawData!$H$3:$H$40))</f>
        <v>1.1791341714277106</v>
      </c>
      <c r="I35" s="8">
        <f>((RawData!I34-AVERAGE(RawData!$I$3:$I$40))/STDEV(RawData!$I$3:$I$40))</f>
        <v>2.535017907130773</v>
      </c>
      <c r="J35" s="8">
        <f>-1*((RawData!J34-AVERAGE(RawData!$J$3:$J$40))/STDEV(RawData!$J$3:$J$40))</f>
        <v>-1.0401304461601153</v>
      </c>
      <c r="K35" s="8">
        <f>-1*((RawData!K34-AVERAGE(RawData!$K$3:$K$40))/STDEV(RawData!$K$3:$K$40))</f>
        <v>-1.4018272991482796</v>
      </c>
      <c r="L35" s="8">
        <f>-1*((RawData!L34-AVERAGE(RawData!$L$3:$L$40))/STDEV(RawData!$L$3:$L$40))</f>
        <v>-1.4524631227012332</v>
      </c>
      <c r="M35" s="8">
        <f>-1*((RawData!M34-AVERAGE(RawData!$M$3:$M$40))/STDEV(RawData!$M$3:$M$40))</f>
        <v>-0.80926386600707745</v>
      </c>
      <c r="N35" s="8">
        <f>-1*((RawData!N34-AVERAGE(RawData!$N$3:$N$40))/STDEV(RawData!$N$3:$N$40))</f>
        <v>0.33845396081495521</v>
      </c>
      <c r="O35" s="8">
        <f>-1*((AbsValues!B34-AVERAGE(AbsValues!$B$3:$B$40))/STDEV(AbsValues!$B$3:$B$40))</f>
        <v>0.59391264411659439</v>
      </c>
      <c r="P35" s="8">
        <f>-1*((RawData!P34-AVERAGE(RawData!$P$3:$P$40))/STDEV(RawData!$P$3:$P$40))</f>
        <v>1.0916983853379549</v>
      </c>
      <c r="Q35" s="8">
        <f>-1*((RawData!Q34-AVERAGE(RawData!$Q$3:$Q$40))/STDEV(RawData!$Q$3:$Q$40))</f>
        <v>-0.55813065421823627</v>
      </c>
      <c r="R35" s="8">
        <f>-1*((RawData!R34-AVERAGE(RawData!$R$3:$R$40))/STDEV(RawData!$R$3:$R$40))</f>
        <v>2.5028287505601026E-2</v>
      </c>
      <c r="S35" s="8">
        <f>-1*((RawData!S34-AVERAGE(RawData!$S$3:$S$40))/STDEV(RawData!$S$3:$S$40))</f>
        <v>0.33845396081495521</v>
      </c>
      <c r="T35" s="8">
        <f>-1*((AbsValues!C34-AVERAGE(AbsValues!$C$3:$C$40))/STDEV(AbsValues!$C$3:$C$40))</f>
        <v>-4.0029271123775656</v>
      </c>
      <c r="U35" s="8">
        <f>-1*((RawData!U34-AVERAGE(RawData!$U$3:$U$40))/STDEV(RawData!$U$3:$U$40))</f>
        <v>7.4057321377007559E-2</v>
      </c>
      <c r="V35" s="8">
        <f>-1*((RawData!V34-AVERAGE(RawData!$V$3:$V$40))/STDEV(RawData!$V$3:$V$40))</f>
        <v>0.50083122934983459</v>
      </c>
      <c r="W35" s="8">
        <f>-1*((RawData!W34-AVERAGE(RawData!$W$3:$W$40))/STDEV(RawData!$W$3:$W$40))</f>
        <v>-0.70176965501490629</v>
      </c>
      <c r="X35" s="8">
        <f>-1*((RawData!X34-AVERAGE(RawData!$X$3:$X$40))/STDEV(RawData!$X$3:$X$40))</f>
        <v>-0.92757789887328057</v>
      </c>
      <c r="Y35" s="8">
        <f>((RawData!Y34-AVERAGE(RawData!$Y$3:$Y$40))/STDEV(RawData!$Y$3:$Y$40))</f>
        <v>-0.7732744805586923</v>
      </c>
      <c r="Z35" s="8">
        <f>((RawData!Z34-AVERAGE(RawData!$Z$3:$Z$40))/STDEV(RawData!$Z$3:$Z$40))</f>
        <v>0.18465614162816085</v>
      </c>
      <c r="AA35" s="8">
        <f>-1*((RawData!AA34-AVERAGE(RawData!$AA$3:$AA$40))/STDEV(RawData!$AA$3:$AA$40))</f>
        <v>0.28640765221979636</v>
      </c>
      <c r="AB35" s="8">
        <f>-1*((RawData!AB34-AVERAGE(RawData!$AB$3:$AB$40))/STDEV(RawData!$AB$3:$AB$40))</f>
        <v>0.4427560587692117</v>
      </c>
      <c r="AC35" s="8">
        <f>-1*((RawData!AC34-AVERAGE(RawData!$AC$3:$AC$40))/STDEV(RawData!$AC$3:$AC$40))</f>
        <v>-0.6703675950928768</v>
      </c>
      <c r="AD35" s="8">
        <f>-1*((RawData!AD34-AVERAGE(RawData!$AD$3:$AD$40))/STDEV(RawData!$AD$3:$AD$40))</f>
        <v>-0.42727718108235579</v>
      </c>
      <c r="AE35" s="8">
        <f>-1*((RawData!AE34-AVERAGE(RawData!$AE$3:$AE$40))/STDEV(RawData!$AE$3:$AE$40))</f>
        <v>-0.93611740154410361</v>
      </c>
      <c r="AF35" s="8">
        <f>-1*((RawData!AF34-AVERAGE(RawData!$AF$3:$AF$40))/STDEV(RawData!$AF$3:$AF$40))</f>
        <v>-1.6511558949637932</v>
      </c>
      <c r="AG35" s="8">
        <f>-1*((RawData!AG34-AVERAGE(RawData!$AG$3:$AG$40))/STDEV(RawData!$AG$3:$AG$40))</f>
        <v>-1.2218766124860361</v>
      </c>
      <c r="AH35" s="8">
        <f>((RawData!AH34-AVERAGE(RawData!$AH$3:$AH$40))/STDEV(RawData!$AH$3:$AH$40))</f>
        <v>0.32819244752489102</v>
      </c>
      <c r="AI35" s="8">
        <f>((RawData!AI34-AVERAGE(RawData!$AI$3:$AI$40))/STDEV(RawData!$AI$3:$AI$40))</f>
        <v>-1.9852328111472262</v>
      </c>
      <c r="AJ35" s="8">
        <f>-1*((RawData!AJ34-AVERAGE(RawData!$AJ$3:$AJ$40))/STDEV(RawData!$AJ$3:$AJ$40))</f>
        <v>-0.98675438206593025</v>
      </c>
      <c r="AK35" s="8">
        <f>-1*((RawData!AK34-AVERAGE(RawData!$AK$3:$AK$40))/STDEV(RawData!$AK$3:$AK$40))</f>
        <v>0.14874375329508421</v>
      </c>
      <c r="AL35" s="8">
        <f>-1*((RawData!AL34-AVERAGE(RawData!$AL$3:$AL$40))/STDEV(RawData!$AL$3:$AL$40))</f>
        <v>-0.45173692641802171</v>
      </c>
      <c r="AM35" s="8">
        <f>-1*((RawData!AM34-AVERAGE(RawData!$AM$3:$AM$40))/STDEV(RawData!$AM$3:$AM$40))</f>
        <v>-0.24215867793331902</v>
      </c>
      <c r="AN35" s="8">
        <f>((RawData!AN34-AVERAGE(RawData!$AN$3:$AN$40))/STDEV(RawData!$AN$3:$AN$40))</f>
        <v>0.45463501463952877</v>
      </c>
      <c r="AO35" s="8">
        <f>-1*((RawData!AO34-AVERAGE(RawData!$AO$3:$AO$40))/STDEV(RawData!$AO$3:$AO$40))</f>
        <v>-0.35957866910117098</v>
      </c>
      <c r="AP35" s="8">
        <f>-1*((RawData!AP34-AVERAGE(RawData!$AP$3:$AP$40))/STDEV(RawData!$AP$3:$AP$40))</f>
        <v>-0.48376742656450294</v>
      </c>
      <c r="AQ35" s="8">
        <f>-1*((RawData!AQ34-AVERAGE(RawData!$AQ$3:$AQ$40))/STDEV(RawData!$AQ$3:$AQ$40))</f>
        <v>-0.6827406491476623</v>
      </c>
    </row>
    <row r="36" spans="1:43" x14ac:dyDescent="0.3">
      <c r="A36" s="6" t="str">
        <f>RawData!A35</f>
        <v>Portugal</v>
      </c>
      <c r="B36" s="8">
        <f>-1*((RawData!B35-AVERAGE(RawData!$B$3:$B$40))/STDEV(RawData!$B$3:$B$40))</f>
        <v>-1.1547760188434024</v>
      </c>
      <c r="C36" s="8">
        <f>((RawData!C35-AVERAGE(RawData!$C$3:$C$40))/STDEV(RawData!$C$3:$C$40))</f>
        <v>-0.24662997877514239</v>
      </c>
      <c r="D36" s="8">
        <f>((RawData!D35-AVERAGE(RawData!$D$3:$D$40))/STDEV(RawData!$D$3:$D$40))</f>
        <v>0.46295291646369996</v>
      </c>
      <c r="E36" s="8">
        <f>((RawData!E35-AVERAGE(RawData!$E$3:$E$40))/STDEV(RawData!$E$3:$E$40))</f>
        <v>0.38920812044448239</v>
      </c>
      <c r="F36" s="8">
        <f>((RawData!F35-AVERAGE(RawData!$F$3:$F$40))/STDEV(RawData!$F$3:$F$40))</f>
        <v>0.25449494941939654</v>
      </c>
      <c r="G36" s="8">
        <f>((RawData!G35-AVERAGE(RawData!$G$3:$G$40))/STDEV(RawData!$G$3:$G$40))</f>
        <v>-1.2377336162418462</v>
      </c>
      <c r="H36" s="8">
        <f>((RawData!H35-AVERAGE(RawData!$H$3:$H$40))/STDEV(RawData!$H$3:$H$40))</f>
        <v>-0.26625610322561188</v>
      </c>
      <c r="I36" s="8">
        <f>((RawData!I35-AVERAGE(RawData!$I$3:$I$40))/STDEV(RawData!$I$3:$I$40))</f>
        <v>2.535017907130773</v>
      </c>
      <c r="J36" s="8">
        <f>-1*((RawData!J35-AVERAGE(RawData!$J$3:$J$40))/STDEV(RawData!$J$3:$J$40))</f>
        <v>-1.0401304461601153</v>
      </c>
      <c r="K36" s="8">
        <f>-1*((RawData!K35-AVERAGE(RawData!$K$3:$K$40))/STDEV(RawData!$K$3:$K$40))</f>
        <v>-1.6644539418810711</v>
      </c>
      <c r="L36" s="8">
        <f>-1*((RawData!L35-AVERAGE(RawData!$L$3:$L$40))/STDEV(RawData!$L$3:$L$40))</f>
        <v>-1.4524631227012332</v>
      </c>
      <c r="M36" s="8">
        <f>-1*((RawData!M35-AVERAGE(RawData!$M$3:$M$40))/STDEV(RawData!$M$3:$M$40))</f>
        <v>-2.9547541154211898</v>
      </c>
      <c r="N36" s="8">
        <f>-1*((RawData!N35-AVERAGE(RawData!$N$3:$N$40))/STDEV(RawData!$N$3:$N$40))</f>
        <v>0.33845396081495521</v>
      </c>
      <c r="O36" s="8">
        <f>-1*((AbsValues!B35-AVERAGE(AbsValues!$B$3:$B$40))/STDEV(AbsValues!$B$3:$B$40))</f>
        <v>0.2698613925178478</v>
      </c>
      <c r="P36" s="8">
        <f>-1*((RawData!P35-AVERAGE(RawData!$P$3:$P$40))/STDEV(RawData!$P$3:$P$40))</f>
        <v>-1.2938650523104773</v>
      </c>
      <c r="Q36" s="8">
        <f>-1*((RawData!Q35-AVERAGE(RawData!$Q$3:$Q$40))/STDEV(RawData!$Q$3:$Q$40))</f>
        <v>-0.570532933076769</v>
      </c>
      <c r="R36" s="8">
        <f>-1*((RawData!R35-AVERAGE(RawData!$R$3:$R$40))/STDEV(RawData!$R$3:$R$40))</f>
        <v>8.1859128955352425E-2</v>
      </c>
      <c r="S36" s="8">
        <f>-1*((RawData!S35-AVERAGE(RawData!$S$3:$S$40))/STDEV(RawData!$S$3:$S$40))</f>
        <v>0.33845396081495521</v>
      </c>
      <c r="T36" s="8">
        <f>-1*((AbsValues!C35-AVERAGE(AbsValues!$C$3:$C$40))/STDEV(AbsValues!$C$3:$C$40))</f>
        <v>0.32073762283238327</v>
      </c>
      <c r="U36" s="8">
        <f>-1*((RawData!U35-AVERAGE(RawData!$U$3:$U$40))/STDEV(RawData!$U$3:$U$40))</f>
        <v>2.8679548536486826E-2</v>
      </c>
      <c r="V36" s="8">
        <f>-1*((RawData!V35-AVERAGE(RawData!$V$3:$V$40))/STDEV(RawData!$V$3:$V$40))</f>
        <v>-0.28666207318260606</v>
      </c>
      <c r="W36" s="8">
        <f>-1*((RawData!W35-AVERAGE(RawData!$W$3:$W$40))/STDEV(RawData!$W$3:$W$40))</f>
        <v>-0.70176965501490629</v>
      </c>
      <c r="X36" s="8">
        <f>-1*((RawData!X35-AVERAGE(RawData!$X$3:$X$40))/STDEV(RawData!$X$3:$X$40))</f>
        <v>0.56576971317003399</v>
      </c>
      <c r="Y36" s="8">
        <f>((RawData!Y35-AVERAGE(RawData!$Y$3:$Y$40))/STDEV(RawData!$Y$3:$Y$40))</f>
        <v>2.296649183391361E-2</v>
      </c>
      <c r="Z36" s="8">
        <f>((RawData!Z35-AVERAGE(RawData!$Z$3:$Z$40))/STDEV(RawData!$Z$3:$Z$40))</f>
        <v>0.18465614162816085</v>
      </c>
      <c r="AA36" s="8">
        <f>-1*((RawData!AA35-AVERAGE(RawData!$AA$3:$AA$40))/STDEV(RawData!$AA$3:$AA$40))</f>
        <v>-7.0153898562427972E-2</v>
      </c>
      <c r="AB36" s="8">
        <f>-1*((RawData!AB35-AVERAGE(RawData!$AB$3:$AB$40))/STDEV(RawData!$AB$3:$AB$40))</f>
        <v>0.4427560587692117</v>
      </c>
      <c r="AC36" s="8">
        <f>-1*((RawData!AC35-AVERAGE(RawData!$AC$3:$AC$40))/STDEV(RawData!$AC$3:$AC$40))</f>
        <v>-0.6703675950928768</v>
      </c>
      <c r="AD36" s="8">
        <f>-1*((RawData!AD35-AVERAGE(RawData!$AD$3:$AD$40))/STDEV(RawData!$AD$3:$AD$40))</f>
        <v>-0.42727718108235579</v>
      </c>
      <c r="AE36" s="8">
        <f>-1*((RawData!AE35-AVERAGE(RawData!$AE$3:$AE$40))/STDEV(RawData!$AE$3:$AE$40))</f>
        <v>-0.93611740154410361</v>
      </c>
      <c r="AF36" s="8">
        <f>-1*((RawData!AF35-AVERAGE(RawData!$AF$3:$AF$40))/STDEV(RawData!$AF$3:$AF$40))</f>
        <v>0.58969853391564031</v>
      </c>
      <c r="AG36" s="8">
        <f>-1*((RawData!AG35-AVERAGE(RawData!$AG$3:$AG$40))/STDEV(RawData!$AG$3:$AG$40))</f>
        <v>0.79687605162132791</v>
      </c>
      <c r="AH36" s="8">
        <f>((RawData!AH35-AVERAGE(RawData!$AH$3:$AH$40))/STDEV(RawData!$AH$3:$AH$40))</f>
        <v>0.32819244752489102</v>
      </c>
      <c r="AI36" s="8">
        <f>((RawData!AI35-AVERAGE(RawData!$AI$3:$AI$40))/STDEV(RawData!$AI$3:$AI$40))</f>
        <v>0.55436815918081928</v>
      </c>
      <c r="AJ36" s="8">
        <f>-1*((RawData!AJ35-AVERAGE(RawData!$AJ$3:$AJ$40))/STDEV(RawData!$AJ$3:$AJ$40))</f>
        <v>-0.98675438206593025</v>
      </c>
      <c r="AK36" s="8">
        <f>-1*((RawData!AK35-AVERAGE(RawData!$AK$3:$AK$40))/STDEV(RawData!$AK$3:$AK$40))</f>
        <v>-0.45368231920299124</v>
      </c>
      <c r="AL36" s="8">
        <f>-1*((RawData!AL35-AVERAGE(RawData!$AL$3:$AL$40))/STDEV(RawData!$AL$3:$AL$40))</f>
        <v>-0.8883531438329374</v>
      </c>
      <c r="AM36" s="8">
        <f>-1*((RawData!AM35-AVERAGE(RawData!$AM$3:$AM$40))/STDEV(RawData!$AM$3:$AM$40))</f>
        <v>-0.7463518597571166</v>
      </c>
      <c r="AN36" s="8">
        <f>((RawData!AN35-AVERAGE(RawData!$AN$3:$AN$40))/STDEV(RawData!$AN$3:$AN$40))</f>
        <v>7.9066959067744233E-2</v>
      </c>
      <c r="AO36" s="8">
        <f>-1*((RawData!AO35-AVERAGE(RawData!$AO$3:$AO$40))/STDEV(RawData!$AO$3:$AO$40))</f>
        <v>-0.35957866910117098</v>
      </c>
      <c r="AP36" s="8">
        <f>-1*((RawData!AP35-AVERAGE(RawData!$AP$3:$AP$40))/STDEV(RawData!$AP$3:$AP$40))</f>
        <v>-0.48376742656450294</v>
      </c>
      <c r="AQ36" s="8">
        <f>-1*((RawData!AQ35-AVERAGE(RawData!$AQ$3:$AQ$40))/STDEV(RawData!$AQ$3:$AQ$40))</f>
        <v>-0.6827406491476623</v>
      </c>
    </row>
    <row r="37" spans="1:43" x14ac:dyDescent="0.3">
      <c r="A37" s="6" t="str">
        <f>RawData!A36</f>
        <v>Sweden</v>
      </c>
      <c r="B37" s="8">
        <f>-1*((RawData!B36-AVERAGE(RawData!$B$3:$B$40))/STDEV(RawData!$B$3:$B$40))</f>
        <v>0.65962303489750795</v>
      </c>
      <c r="C37" s="8">
        <f>((RawData!C36-AVERAGE(RawData!$C$3:$C$40))/STDEV(RawData!$C$3:$C$40))</f>
        <v>-0.24662997877514239</v>
      </c>
      <c r="D37" s="8">
        <f>((RawData!D36-AVERAGE(RawData!$D$3:$D$40))/STDEV(RawData!$D$3:$D$40))</f>
        <v>1.3509999041275362</v>
      </c>
      <c r="E37" s="8">
        <f>((RawData!E36-AVERAGE(RawData!$E$3:$E$40))/STDEV(RawData!$E$3:$E$40))</f>
        <v>3.9555029870717927E-2</v>
      </c>
      <c r="F37" s="8">
        <f>((RawData!F36-AVERAGE(RawData!$F$3:$F$40))/STDEV(RawData!$F$3:$F$40))</f>
        <v>-0.10047077899988448</v>
      </c>
      <c r="G37" s="8">
        <f>((RawData!G36-AVERAGE(RawData!$G$3:$G$40))/STDEV(RawData!$G$3:$G$40))</f>
        <v>0.52585527597995363</v>
      </c>
      <c r="H37" s="8">
        <f>((RawData!H36-AVERAGE(RawData!$H$3:$H$40))/STDEV(RawData!$H$3:$H$40))</f>
        <v>-1.7116463778789344</v>
      </c>
      <c r="I37" s="8">
        <f>((RawData!I36-AVERAGE(RawData!$I$3:$I$40))/STDEV(RawData!$I$3:$I$40))</f>
        <v>-0.38409362229254129</v>
      </c>
      <c r="J37" s="8">
        <f>-1*((RawData!J36-AVERAGE(RawData!$J$3:$J$40))/STDEV(RawData!$J$3:$J$40))</f>
        <v>0.9361174015441035</v>
      </c>
      <c r="K37" s="8">
        <f>-1*((RawData!K36-AVERAGE(RawData!$K$3:$K$40))/STDEV(RawData!$K$3:$K$40))</f>
        <v>0.43655919998126336</v>
      </c>
      <c r="L37" s="8">
        <f>-1*((RawData!L36-AVERAGE(RawData!$L$3:$L$40))/STDEV(RawData!$L$3:$L$40))</f>
        <v>0.6703675950928768</v>
      </c>
      <c r="M37" s="8">
        <f>-1*((RawData!M36-AVERAGE(RawData!$M$3:$M$40))/STDEV(RawData!$M$3:$M$40))</f>
        <v>0.6210629669356641</v>
      </c>
      <c r="N37" s="8">
        <f>-1*((RawData!N36-AVERAGE(RawData!$N$3:$N$40))/STDEV(RawData!$N$3:$N$40))</f>
        <v>0.33845396081495521</v>
      </c>
      <c r="O37" s="8">
        <f>-1*((AbsValues!B36-AVERAGE(AbsValues!$B$3:$B$40))/STDEV(AbsValues!$B$3:$B$40))</f>
        <v>0.59391264411659439</v>
      </c>
      <c r="P37" s="8">
        <f>-1*((RawData!P36-AVERAGE(RawData!$P$3:$P$40))/STDEV(RawData!$P$3:$P$40))</f>
        <v>-0.66976636316474469</v>
      </c>
      <c r="Q37" s="8">
        <f>-1*((RawData!Q36-AVERAGE(RawData!$Q$3:$Q$40))/STDEV(RawData!$Q$3:$Q$40))</f>
        <v>0.63360374719576662</v>
      </c>
      <c r="R37" s="8">
        <f>-1*((RawData!R36-AVERAGE(RawData!$R$3:$R$40))/STDEV(RawData!$R$3:$R$40))</f>
        <v>1.5739439565748834E-2</v>
      </c>
      <c r="S37" s="8">
        <f>-1*((RawData!S36-AVERAGE(RawData!$S$3:$S$40))/STDEV(RawData!$S$3:$S$40))</f>
        <v>0.33845396081495521</v>
      </c>
      <c r="T37" s="8">
        <f>-1*((AbsValues!C36-AVERAGE(AbsValues!$C$3:$C$40))/STDEV(AbsValues!$C$3:$C$40))</f>
        <v>0.29992618755991501</v>
      </c>
      <c r="U37" s="8">
        <f>-1*((RawData!U36-AVERAGE(RawData!$U$3:$U$40))/STDEV(RawData!$U$3:$U$40))</f>
        <v>-0.7578685140325383</v>
      </c>
      <c r="V37" s="8">
        <f>-1*((RawData!V36-AVERAGE(RawData!$V$3:$V$40))/STDEV(RawData!$V$3:$V$40))</f>
        <v>-0.46166058485648137</v>
      </c>
      <c r="W37" s="8">
        <f>-1*((RawData!W36-AVERAGE(RawData!$W$3:$W$40))/STDEV(RawData!$W$3:$W$40))</f>
        <v>-1.0865784124545372</v>
      </c>
      <c r="X37" s="8">
        <f>-1*((RawData!X36-AVERAGE(RawData!$X$3:$X$40))/STDEV(RawData!$X$3:$X$40))</f>
        <v>0.86413665180805577</v>
      </c>
      <c r="Y37" s="8">
        <f>((RawData!Y36-AVERAGE(RawData!$Y$3:$Y$40))/STDEV(RawData!$Y$3:$Y$40))</f>
        <v>0.1479532503339748</v>
      </c>
      <c r="Z37" s="8">
        <f>((RawData!Z36-AVERAGE(RawData!$Z$3:$Z$40))/STDEV(RawData!$Z$3:$Z$40))</f>
        <v>0.18465614162816085</v>
      </c>
      <c r="AA37" s="8">
        <f>-1*((RawData!AA36-AVERAGE(RawData!$AA$3:$AA$40))/STDEV(RawData!$AA$3:$AA$40))</f>
        <v>0.66137909856376742</v>
      </c>
      <c r="AB37" s="8">
        <f>-1*((RawData!AB36-AVERAGE(RawData!$AB$3:$AB$40))/STDEV(RawData!$AB$3:$AB$40))</f>
        <v>0.4427560587692117</v>
      </c>
      <c r="AC37" s="8">
        <f>-1*((RawData!AC36-AVERAGE(RawData!$AC$3:$AC$40))/STDEV(RawData!$AC$3:$AC$40))</f>
        <v>1.4524631227012332</v>
      </c>
      <c r="AD37" s="8">
        <f>-1*((RawData!AD36-AVERAGE(RawData!$AD$3:$AD$40))/STDEV(RawData!$AD$3:$AD$40))</f>
        <v>-0.42727718108235579</v>
      </c>
      <c r="AE37" s="8">
        <f>-1*((RawData!AE36-AVERAGE(RawData!$AE$3:$AE$40))/STDEV(RawData!$AE$3:$AE$40))</f>
        <v>-0.93611740154410361</v>
      </c>
      <c r="AF37" s="8">
        <f>-1*((RawData!AF36-AVERAGE(RawData!$AF$3:$AF$40))/STDEV(RawData!$AF$3:$AF$40))</f>
        <v>0.58969853391564031</v>
      </c>
      <c r="AG37" s="8">
        <f>-1*((RawData!AG36-AVERAGE(RawData!$AG$3:$AG$40))/STDEV(RawData!$AG$3:$AG$40))</f>
        <v>0.79687605162132791</v>
      </c>
      <c r="AH37" s="8">
        <f>((RawData!AH36-AVERAGE(RawData!$AH$3:$AH$40))/STDEV(RawData!$AH$3:$AH$40))</f>
        <v>0.32819244752489102</v>
      </c>
      <c r="AI37" s="8">
        <f>((RawData!AI36-AVERAGE(RawData!$AI$3:$AI$40))/STDEV(RawData!$AI$3:$AI$40))</f>
        <v>0.55436815918081928</v>
      </c>
      <c r="AJ37" s="8">
        <f>-1*((RawData!AJ36-AVERAGE(RawData!$AJ$3:$AJ$40))/STDEV(RawData!$AJ$3:$AJ$40))</f>
        <v>0.98675438206593025</v>
      </c>
      <c r="AK37" s="8">
        <f>-1*((RawData!AK36-AVERAGE(RawData!$AK$3:$AK$40))/STDEV(RawData!$AK$3:$AK$40))</f>
        <v>-0.95570404628472072</v>
      </c>
      <c r="AL37" s="8">
        <f>-1*((RawData!AL36-AVERAGE(RawData!$AL$3:$AL$40))/STDEV(RawData!$AL$3:$AL$40))</f>
        <v>1.2947279432416416</v>
      </c>
      <c r="AM37" s="8">
        <f>-1*((RawData!AM36-AVERAGE(RawData!$AM$3:$AM$40))/STDEV(RawData!$AM$3:$AM$40))</f>
        <v>1.7746140493618718</v>
      </c>
      <c r="AN37" s="8">
        <f>((RawData!AN36-AVERAGE(RawData!$AN$3:$AN$40))/STDEV(RawData!$AN$3:$AN$40))</f>
        <v>0.26685098685363651</v>
      </c>
      <c r="AO37" s="8">
        <f>-1*((RawData!AO36-AVERAGE(RawData!$AO$3:$AO$40))/STDEV(RawData!$AO$3:$AO$40))</f>
        <v>-1.3355779146409208</v>
      </c>
      <c r="AP37" s="8">
        <f>-1*((RawData!AP36-AVERAGE(RawData!$AP$3:$AP$40))/STDEV(RawData!$AP$3:$AP$40))</f>
        <v>-0.48376742656450294</v>
      </c>
      <c r="AQ37" s="8">
        <f>-1*((RawData!AQ36-AVERAGE(RawData!$AQ$3:$AQ$40))/STDEV(RawData!$AQ$3:$AQ$40))</f>
        <v>-0.6827406491476623</v>
      </c>
    </row>
    <row r="38" spans="1:43" x14ac:dyDescent="0.3">
      <c r="A38" s="6" t="str">
        <f>RawData!A37</f>
        <v>Slovenia</v>
      </c>
      <c r="B38" s="8">
        <f>-1*((RawData!B37-AVERAGE(RawData!$B$3:$B$40))/STDEV(RawData!$B$3:$B$40))</f>
        <v>0.40304135053010626</v>
      </c>
      <c r="C38" s="8">
        <f>((RawData!C37-AVERAGE(RawData!$C$3:$C$40))/STDEV(RawData!$C$3:$C$40))</f>
        <v>-0.24662997877514239</v>
      </c>
      <c r="D38" s="8">
        <f>((RawData!D37-AVERAGE(RawData!$D$3:$D$40))/STDEV(RawData!$D$3:$D$40))</f>
        <v>-1.1063529745936795</v>
      </c>
      <c r="E38" s="8">
        <f>((RawData!E37-AVERAGE(RawData!$E$3:$E$40))/STDEV(RawData!$E$3:$E$40))</f>
        <v>0.16096527808668717</v>
      </c>
      <c r="F38" s="8">
        <f>((RawData!F37-AVERAGE(RawData!$F$3:$F$40))/STDEV(RawData!$F$3:$F$40))</f>
        <v>-0.555134906259802</v>
      </c>
      <c r="G38" s="8">
        <f>((RawData!G37-AVERAGE(RawData!$G$3:$G$40))/STDEV(RawData!$G$3:$G$40))</f>
        <v>-0.16428036293842818</v>
      </c>
      <c r="H38" s="8">
        <f>((RawData!H37-AVERAGE(RawData!$H$3:$H$40))/STDEV(RawData!$H$3:$H$40))</f>
        <v>-0.26625610322561188</v>
      </c>
      <c r="I38" s="8">
        <f>((RawData!I37-AVERAGE(RawData!$I$3:$I$40))/STDEV(RawData!$I$3:$I$40))</f>
        <v>-0.38409362229254129</v>
      </c>
      <c r="J38" s="8">
        <f>-1*((RawData!J37-AVERAGE(RawData!$J$3:$J$40))/STDEV(RawData!$J$3:$J$40))</f>
        <v>0.9361174015441035</v>
      </c>
      <c r="K38" s="8">
        <f>-1*((RawData!K37-AVERAGE(RawData!$K$3:$K$40))/STDEV(RawData!$K$3:$K$40))</f>
        <v>-0.61394737094990404</v>
      </c>
      <c r="L38" s="8">
        <f>-1*((RawData!L37-AVERAGE(RawData!$L$3:$L$40))/STDEV(RawData!$L$3:$L$40))</f>
        <v>0.6703675950928768</v>
      </c>
      <c r="M38" s="8">
        <f>-1*((RawData!M37-AVERAGE(RawData!$M$3:$M$40))/STDEV(RawData!$M$3:$M$40))</f>
        <v>0.6210629669356641</v>
      </c>
      <c r="N38" s="8">
        <f>-1*((RawData!N37-AVERAGE(RawData!$N$3:$N$40))/STDEV(RawData!$N$3:$N$40))</f>
        <v>0.33845396081495521</v>
      </c>
      <c r="O38" s="8">
        <f>-1*((AbsValues!B37-AVERAGE(AbsValues!$B$3:$B$40))/STDEV(AbsValues!$B$3:$B$40))</f>
        <v>0.58413843069476523</v>
      </c>
      <c r="P38" s="8">
        <f>-1*((RawData!P37-AVERAGE(RawData!$P$3:$P$40))/STDEV(RawData!$P$3:$P$40))</f>
        <v>-1.6037623324380144</v>
      </c>
      <c r="Q38" s="8">
        <f>-1*((RawData!Q37-AVERAGE(RawData!$Q$3:$Q$40))/STDEV(RawData!$Q$3:$Q$40))</f>
        <v>0.36320035226806352</v>
      </c>
      <c r="R38" s="8">
        <f>-1*((RawData!R37-AVERAGE(RawData!$R$3:$R$40))/STDEV(RawData!$R$3:$R$40))</f>
        <v>0.27387397611714592</v>
      </c>
      <c r="S38" s="8">
        <f>-1*((RawData!S37-AVERAGE(RawData!$S$3:$S$40))/STDEV(RawData!$S$3:$S$40))</f>
        <v>0.33845396081495521</v>
      </c>
      <c r="T38" s="8">
        <f>-1*((AbsValues!C37-AVERAGE(AbsValues!$C$3:$C$40))/STDEV(AbsValues!$C$3:$C$40))</f>
        <v>0.32073762283238327</v>
      </c>
      <c r="U38" s="8">
        <f>-1*((RawData!U37-AVERAGE(RawData!$U$3:$U$40))/STDEV(RawData!$U$3:$U$40))</f>
        <v>1.5110201279934961</v>
      </c>
      <c r="V38" s="8">
        <f>-1*((RawData!V37-AVERAGE(RawData!$V$3:$V$40))/STDEV(RawData!$V$3:$V$40))</f>
        <v>-2.4164305671792334E-2</v>
      </c>
      <c r="W38" s="8">
        <f>-1*((RawData!W37-AVERAGE(RawData!$W$3:$W$40))/STDEV(RawData!$W$3:$W$40))</f>
        <v>-0.50936527629509076</v>
      </c>
      <c r="X38" s="8">
        <f>-1*((RawData!X37-AVERAGE(RawData!$X$3:$X$40))/STDEV(RawData!$X$3:$X$40))</f>
        <v>-1.0620812667122064</v>
      </c>
      <c r="Y38" s="8">
        <f>((RawData!Y37-AVERAGE(RawData!$Y$3:$Y$40))/STDEV(RawData!$Y$3:$Y$40))</f>
        <v>0.22429097147906002</v>
      </c>
      <c r="Z38" s="8">
        <f>((RawData!Z37-AVERAGE(RawData!$Z$3:$Z$40))/STDEV(RawData!$Z$3:$Z$40))</f>
        <v>-2.1543216523285427</v>
      </c>
      <c r="AA38" s="8">
        <f>-1*((RawData!AA37-AVERAGE(RawData!$AA$3:$AA$40))/STDEV(RawData!$AA$3:$AA$40))</f>
        <v>0.12877527761384081</v>
      </c>
      <c r="AB38" s="8">
        <f>-1*((RawData!AB37-AVERAGE(RawData!$AB$3:$AB$40))/STDEV(RawData!$AB$3:$AB$40))</f>
        <v>0.4427560587692117</v>
      </c>
      <c r="AC38" s="8">
        <f>-1*((RawData!AC37-AVERAGE(RawData!$AC$3:$AC$40))/STDEV(RawData!$AC$3:$AC$40))</f>
        <v>-0.6703675950928768</v>
      </c>
      <c r="AD38" s="8">
        <f>-1*((RawData!AD37-AVERAGE(RawData!$AD$3:$AD$40))/STDEV(RawData!$AD$3:$AD$40))</f>
        <v>-0.42727718108235579</v>
      </c>
      <c r="AE38" s="8">
        <f>-1*((RawData!AE37-AVERAGE(RawData!$AE$3:$AE$40))/STDEV(RawData!$AE$3:$AE$40))</f>
        <v>1.0401304461601151</v>
      </c>
      <c r="AF38" s="8">
        <f>-1*((RawData!AF37-AVERAGE(RawData!$AF$3:$AF$40))/STDEV(RawData!$AF$3:$AF$40))</f>
        <v>0.58969853391564031</v>
      </c>
      <c r="AG38" s="8">
        <f>-1*((RawData!AG37-AVERAGE(RawData!$AG$3:$AG$40))/STDEV(RawData!$AG$3:$AG$40))</f>
        <v>0.79687605162132791</v>
      </c>
      <c r="AH38" s="8">
        <f>((RawData!AH37-AVERAGE(RawData!$AH$3:$AH$40))/STDEV(RawData!$AH$3:$AH$40))</f>
        <v>0.14370556873871004</v>
      </c>
      <c r="AI38" s="8">
        <f>((RawData!AI37-AVERAGE(RawData!$AI$3:$AI$40))/STDEV(RawData!$AI$3:$AI$40))</f>
        <v>-0.77892235024140466</v>
      </c>
      <c r="AJ38" s="8">
        <f>-1*((RawData!AJ37-AVERAGE(RawData!$AJ$3:$AJ$40))/STDEV(RawData!$AJ$3:$AJ$40))</f>
        <v>-0.98675438206593025</v>
      </c>
      <c r="AK38" s="8">
        <f>-1*((RawData!AK37-AVERAGE(RawData!$AK$3:$AK$40))/STDEV(RawData!$AK$3:$AK$40))</f>
        <v>0.5503611349604679</v>
      </c>
      <c r="AL38" s="8">
        <f>-1*((RawData!AL37-AVERAGE(RawData!$AL$3:$AL$40))/STDEV(RawData!$AL$3:$AL$40))</f>
        <v>-1.5120709003105757E-2</v>
      </c>
      <c r="AM38" s="8">
        <f>-1*((RawData!AM37-AVERAGE(RawData!$AM$3:$AM$40))/STDEV(RawData!$AM$3:$AM$40))</f>
        <v>0.26203450389047883</v>
      </c>
      <c r="AN38" s="8">
        <f>((RawData!AN37-AVERAGE(RawData!$AN$3:$AN$40))/STDEV(RawData!$AN$3:$AN$40))</f>
        <v>-0.59695554096146797</v>
      </c>
      <c r="AO38" s="8">
        <f>-1*((RawData!AO37-AVERAGE(RawData!$AO$3:$AO$40))/STDEV(RawData!$AO$3:$AO$40))</f>
        <v>0.61642057643857884</v>
      </c>
      <c r="AP38" s="8">
        <f>-1*((RawData!AP37-AVERAGE(RawData!$AP$3:$AP$40))/STDEV(RawData!$AP$3:$AP$40))</f>
        <v>1.5588061522633978</v>
      </c>
      <c r="AQ38" s="8">
        <f>-1*((RawData!AQ37-AVERAGE(RawData!$AQ$3:$AQ$40))/STDEV(RawData!$AQ$3:$AQ$40))</f>
        <v>-0.6827406491476623</v>
      </c>
    </row>
    <row r="39" spans="1:43" x14ac:dyDescent="0.3">
      <c r="A39" s="6" t="str">
        <f>RawData!A38</f>
        <v>Slovak Republic</v>
      </c>
      <c r="B39" s="8">
        <f>-1*((RawData!B38-AVERAGE(RawData!$B$3:$B$40))/STDEV(RawData!$B$3:$B$40))</f>
        <v>3.6496087148104359E-2</v>
      </c>
      <c r="C39" s="8">
        <f>((RawData!C38-AVERAGE(RawData!$C$3:$C$40))/STDEV(RawData!$C$3:$C$40))</f>
        <v>-0.24662997877514239</v>
      </c>
      <c r="D39" s="8">
        <f>((RawData!D38-AVERAGE(RawData!$D$3:$D$40))/STDEV(RawData!$D$3:$D$40))</f>
        <v>-1.1228452757931506</v>
      </c>
      <c r="E39" s="8">
        <f>((RawData!E38-AVERAGE(RawData!$E$3:$E$40))/STDEV(RawData!$E$3:$E$40))</f>
        <v>0.21036319631997916</v>
      </c>
      <c r="F39" s="8">
        <f>((RawData!F38-AVERAGE(RawData!$F$3:$F$40))/STDEV(RawData!$F$3:$F$40))</f>
        <v>0.25449494941939654</v>
      </c>
      <c r="G39" s="8">
        <f>((RawData!G38-AVERAGE(RawData!$G$3:$G$40))/STDEV(RawData!$G$3:$G$40))</f>
        <v>0.5816106691306967</v>
      </c>
      <c r="H39" s="8">
        <f>((RawData!H38-AVERAGE(RawData!$H$3:$H$40))/STDEV(RawData!$H$3:$H$40))</f>
        <v>-0.26625610322561188</v>
      </c>
      <c r="I39" s="8">
        <f>((RawData!I38-AVERAGE(RawData!$I$3:$I$40))/STDEV(RawData!$I$3:$I$40))</f>
        <v>-0.38409362229254129</v>
      </c>
      <c r="J39" s="8">
        <f>-1*((RawData!J38-AVERAGE(RawData!$J$3:$J$40))/STDEV(RawData!$J$3:$J$40))</f>
        <v>-1.0401304461601153</v>
      </c>
      <c r="K39" s="8">
        <f>-1*((RawData!K38-AVERAGE(RawData!$K$3:$K$40))/STDEV(RawData!$K$3:$K$40))</f>
        <v>-0.78903179943843194</v>
      </c>
      <c r="L39" s="8">
        <f>-1*((RawData!L38-AVERAGE(RawData!$L$3:$L$40))/STDEV(RawData!$L$3:$L$40))</f>
        <v>0.6703675950928768</v>
      </c>
      <c r="M39" s="8">
        <f>-1*((RawData!M38-AVERAGE(RawData!$M$3:$M$40))/STDEV(RawData!$M$3:$M$40))</f>
        <v>-0.80926386600707745</v>
      </c>
      <c r="N39" s="8">
        <f>-1*((RawData!N38-AVERAGE(RawData!$N$3:$N$40))/STDEV(RawData!$N$3:$N$40))</f>
        <v>0.33845396081495521</v>
      </c>
      <c r="O39" s="8">
        <f>-1*((AbsValues!B38-AVERAGE(AbsValues!$B$3:$B$40))/STDEV(AbsValues!$B$3:$B$40))</f>
        <v>-9.7249231723011045E-2</v>
      </c>
      <c r="P39" s="8">
        <f>-1*((RawData!P38-AVERAGE(RawData!$P$3:$P$40))/STDEV(RawData!$P$3:$P$40))</f>
        <v>1.1939214464911354</v>
      </c>
      <c r="Q39" s="8">
        <f>-1*((RawData!Q38-AVERAGE(RawData!$Q$3:$Q$40))/STDEV(RawData!$Q$3:$Q$40))</f>
        <v>0.43976763838174121</v>
      </c>
      <c r="R39" s="8">
        <f>-1*((RawData!R38-AVERAGE(RawData!$R$3:$R$40))/STDEV(RawData!$R$3:$R$40))</f>
        <v>0.41104894704274203</v>
      </c>
      <c r="S39" s="8">
        <f>-1*((RawData!S38-AVERAGE(RawData!$S$3:$S$40))/STDEV(RawData!$S$3:$S$40))</f>
        <v>0.33845396081495521</v>
      </c>
      <c r="T39" s="8">
        <f>-1*((AbsValues!C38-AVERAGE(AbsValues!$C$3:$C$40))/STDEV(AbsValues!$C$3:$C$40))</f>
        <v>0.32073762283238327</v>
      </c>
      <c r="U39" s="8">
        <f>-1*((RawData!U38-AVERAGE(RawData!$U$3:$U$40))/STDEV(RawData!$U$3:$U$40))</f>
        <v>1.5110201279934961</v>
      </c>
      <c r="V39" s="8">
        <f>-1*((RawData!V38-AVERAGE(RawData!$V$3:$V$40))/STDEV(RawData!$V$3:$V$40))</f>
        <v>1.5508222993930885</v>
      </c>
      <c r="W39" s="8">
        <f>-1*((RawData!W38-AVERAGE(RawData!$W$3:$W$40))/STDEV(RawData!$W$3:$W$40))</f>
        <v>-0.70176965501490629</v>
      </c>
      <c r="X39" s="8">
        <f>-1*((RawData!X38-AVERAGE(RawData!$X$3:$X$40))/STDEV(RawData!$X$3:$X$40))</f>
        <v>-1.3574033681113369</v>
      </c>
      <c r="Y39" s="8">
        <f>((RawData!Y38-AVERAGE(RawData!$Y$3:$Y$40))/STDEV(RawData!$Y$3:$Y$40))</f>
        <v>3.5738368304196452E-2</v>
      </c>
      <c r="Z39" s="8">
        <f>((RawData!Z38-AVERAGE(RawData!$Z$3:$Z$40))/STDEV(RawData!$Z$3:$Z$40))</f>
        <v>0.18465614162816085</v>
      </c>
      <c r="AA39" s="8">
        <f>-1*((RawData!AA38-AVERAGE(RawData!$AA$3:$AA$40))/STDEV(RawData!$AA$3:$AA$40))</f>
        <v>0.16245791809522014</v>
      </c>
      <c r="AB39" s="8">
        <f>-1*((RawData!AB38-AVERAGE(RawData!$AB$3:$AB$40))/STDEV(RawData!$AB$3:$AB$40))</f>
        <v>0.4427560587692117</v>
      </c>
      <c r="AC39" s="8">
        <f>-1*((RawData!AC38-AVERAGE(RawData!$AC$3:$AC$40))/STDEV(RawData!$AC$3:$AC$40))</f>
        <v>1.4524631227012332</v>
      </c>
      <c r="AD39" s="8">
        <f>-1*((RawData!AD38-AVERAGE(RawData!$AD$3:$AD$40))/STDEV(RawData!$AD$3:$AD$40))</f>
        <v>2.27881163243923</v>
      </c>
      <c r="AE39" s="8">
        <f>-1*((RawData!AE38-AVERAGE(RawData!$AE$3:$AE$40))/STDEV(RawData!$AE$3:$AE$40))</f>
        <v>-0.93611740154410361</v>
      </c>
      <c r="AF39" s="8">
        <f>-1*((RawData!AF38-AVERAGE(RawData!$AF$3:$AF$40))/STDEV(RawData!$AF$3:$AF$40))</f>
        <v>0.58969853391564031</v>
      </c>
      <c r="AG39" s="8">
        <f>-1*((RawData!AG38-AVERAGE(RawData!$AG$3:$AG$40))/STDEV(RawData!$AG$3:$AG$40))</f>
        <v>-1.2218766124860361</v>
      </c>
      <c r="AH39" s="8">
        <f>((RawData!AH38-AVERAGE(RawData!$AH$3:$AH$40))/STDEV(RawData!$AH$3:$AH$40))</f>
        <v>0.32819244752489102</v>
      </c>
      <c r="AI39" s="8">
        <f>((RawData!AI38-AVERAGE(RawData!$AI$3:$AI$40))/STDEV(RawData!$AI$3:$AI$40))</f>
        <v>0.55436815918081928</v>
      </c>
      <c r="AJ39" s="8">
        <f>-1*((RawData!AJ38-AVERAGE(RawData!$AJ$3:$AJ$40))/STDEV(RawData!$AJ$3:$AJ$40))</f>
        <v>-0.98675438206593025</v>
      </c>
      <c r="AK39" s="8">
        <f>-1*((RawData!AK38-AVERAGE(RawData!$AK$3:$AK$40))/STDEV(RawData!$AK$3:$AK$40))</f>
        <v>-1.4577257733664502</v>
      </c>
      <c r="AL39" s="8">
        <f>-1*((RawData!AL38-AVERAGE(RawData!$AL$3:$AL$40))/STDEV(RawData!$AL$3:$AL$40))</f>
        <v>-0.36441368293503845</v>
      </c>
      <c r="AM39" s="8">
        <f>-1*((RawData!AM38-AVERAGE(RawData!$AM$3:$AM$40))/STDEV(RawData!$AM$3:$AM$40))</f>
        <v>-0.14132004156855937</v>
      </c>
      <c r="AN39" s="8">
        <f>((RawData!AN38-AVERAGE(RawData!$AN$3:$AN$40))/STDEV(RawData!$AN$3:$AN$40))</f>
        <v>-3.3603457603791138E-2</v>
      </c>
      <c r="AO39" s="8">
        <f>-1*((RawData!AO38-AVERAGE(RawData!$AO$3:$AO$40))/STDEV(RawData!$AO$3:$AO$40))</f>
        <v>-0.35957866910117098</v>
      </c>
      <c r="AP39" s="8">
        <f>-1*((RawData!AP38-AVERAGE(RawData!$AP$3:$AP$40))/STDEV(RawData!$AP$3:$AP$40))</f>
        <v>-0.48376742656450294</v>
      </c>
      <c r="AQ39" s="8">
        <f>-1*((RawData!AQ38-AVERAGE(RawData!$AQ$3:$AQ$40))/STDEV(RawData!$AQ$3:$AQ$40))</f>
        <v>1.5732719306446126</v>
      </c>
    </row>
    <row r="40" spans="1:43" x14ac:dyDescent="0.3">
      <c r="A40" s="6" t="str">
        <f>RawData!A39</f>
        <v>Turkey</v>
      </c>
      <c r="B40" s="8">
        <f>-1*((RawData!B39-AVERAGE(RawData!$B$3:$B$40))/STDEV(RawData!$B$3:$B$40))</f>
        <v>-0.14677654454289685</v>
      </c>
      <c r="C40" s="8">
        <f>((RawData!C39-AVERAGE(RawData!$C$3:$C$40))/STDEV(RawData!$C$3:$C$40))</f>
        <v>-0.24662997877514239</v>
      </c>
      <c r="D40" s="8">
        <f>((RawData!D39-AVERAGE(RawData!$D$3:$D$40))/STDEV(RawData!$D$3:$D$40))</f>
        <v>-1.0594133481028767</v>
      </c>
      <c r="E40" s="8">
        <f>((RawData!E39-AVERAGE(RawData!$E$3:$E$40))/STDEV(RawData!$E$3:$E$40))</f>
        <v>9.061800401968903E-2</v>
      </c>
      <c r="F40" s="8">
        <f>((RawData!F39-AVERAGE(RawData!$F$3:$F$40))/STDEV(RawData!$F$3:$F$40))</f>
        <v>-0.35000838640091597</v>
      </c>
      <c r="G40" s="8">
        <f>((RawData!G39-AVERAGE(RawData!$G$3:$G$40))/STDEV(RawData!$G$3:$G$40))</f>
        <v>-0.40998405277315664</v>
      </c>
      <c r="H40" s="8">
        <f>((RawData!H39-AVERAGE(RawData!$H$3:$H$40))/STDEV(RawData!$H$3:$H$40))</f>
        <v>-0.26625610322561188</v>
      </c>
      <c r="I40" s="8">
        <f>((RawData!I39-AVERAGE(RawData!$I$3:$I$40))/STDEV(RawData!$I$3:$I$40))</f>
        <v>2.535017907130773</v>
      </c>
      <c r="J40" s="8">
        <f>-1*((RawData!J39-AVERAGE(RawData!$J$3:$J$40))/STDEV(RawData!$J$3:$J$40))</f>
        <v>-1.0401304461601153</v>
      </c>
      <c r="K40" s="8">
        <f>-1*((RawData!K39-AVERAGE(RawData!$K$3:$K$40))/STDEV(RawData!$K$3:$K$40))</f>
        <v>0.91804137832471511</v>
      </c>
      <c r="L40" s="8">
        <f>-1*((RawData!L39-AVERAGE(RawData!$L$3:$L$40))/STDEV(RawData!$L$3:$L$40))</f>
        <v>-1.4524631227012332</v>
      </c>
      <c r="M40" s="8">
        <f>-1*((RawData!M39-AVERAGE(RawData!$M$3:$M$40))/STDEV(RawData!$M$3:$M$40))</f>
        <v>-9.4100449535706648E-2</v>
      </c>
      <c r="N40" s="8">
        <f>-1*((RawData!N39-AVERAGE(RawData!$N$3:$N$40))/STDEV(RawData!$N$3:$N$40))</f>
        <v>0.33845396081495521</v>
      </c>
      <c r="O40" s="8">
        <f>-1*((AbsValues!B39-AVERAGE(AbsValues!$B$3:$B$40))/STDEV(AbsValues!$B$3:$B$40))</f>
        <v>0.59391264411659439</v>
      </c>
      <c r="P40" s="8">
        <f>-1*((RawData!P39-AVERAGE(RawData!$P$3:$P$40))/STDEV(RawData!$P$3:$P$40))</f>
        <v>0.57520291845872751</v>
      </c>
      <c r="Q40" s="8">
        <f>-1*((RawData!Q39-AVERAGE(RawData!$Q$3:$Q$40))/STDEV(RawData!$Q$3:$Q$40))</f>
        <v>0.14190649031477764</v>
      </c>
      <c r="R40" s="8">
        <f>-1*((RawData!R39-AVERAGE(RawData!$R$3:$R$40))/STDEV(RawData!$R$3:$R$40))</f>
        <v>9.1331605308592699E-4</v>
      </c>
      <c r="S40" s="8">
        <f>-1*((RawData!S39-AVERAGE(RawData!$S$3:$S$40))/STDEV(RawData!$S$3:$S$40))</f>
        <v>0.33845396081495521</v>
      </c>
      <c r="T40" s="8">
        <f>-1*((AbsValues!C39-AVERAGE(AbsValues!$C$3:$C$40))/STDEV(AbsValues!$C$3:$C$40))</f>
        <v>0.32073762283238327</v>
      </c>
      <c r="U40" s="8">
        <f>-1*((RawData!U39-AVERAGE(RawData!$U$3:$U$40))/STDEV(RawData!$U$3:$U$40))</f>
        <v>1.5110201279934961</v>
      </c>
      <c r="V40" s="8">
        <f>-1*((RawData!V39-AVERAGE(RawData!$V$3:$V$40))/STDEV(RawData!$V$3:$V$40))</f>
        <v>0.41333197351289669</v>
      </c>
      <c r="W40" s="8">
        <f>-1*((RawData!W39-AVERAGE(RawData!$W$3:$W$40))/STDEV(RawData!$W$3:$W$40))</f>
        <v>-0.12455651885545976</v>
      </c>
      <c r="X40" s="8">
        <f>-1*((RawData!X39-AVERAGE(RawData!$X$3:$X$40))/STDEV(RawData!$X$3:$X$40))</f>
        <v>1.1513215097767115</v>
      </c>
      <c r="Y40" s="8">
        <f>((RawData!Y39-AVERAGE(RawData!$Y$3:$Y$40))/STDEV(RawData!$Y$3:$Y$40))</f>
        <v>-1.1769111116909052</v>
      </c>
      <c r="Z40" s="8">
        <f>((RawData!Z39-AVERAGE(RawData!$Z$3:$Z$40))/STDEV(RawData!$Z$3:$Z$40))</f>
        <v>0.18465614162816085</v>
      </c>
      <c r="AA40" s="8">
        <f>-1*((RawData!AA39-AVERAGE(RawData!$AA$3:$AA$40))/STDEV(RawData!$AA$3:$AA$40))</f>
        <v>0.71003949697406232</v>
      </c>
      <c r="AB40" s="8">
        <f>-1*((RawData!AB39-AVERAGE(RawData!$AB$3:$AB$40))/STDEV(RawData!$AB$3:$AB$40))</f>
        <v>0.4427560587692117</v>
      </c>
      <c r="AC40" s="8">
        <f>-1*((RawData!AC39-AVERAGE(RawData!$AC$3:$AC$40))/STDEV(RawData!$AC$3:$AC$40))</f>
        <v>-0.6703675950928768</v>
      </c>
      <c r="AD40" s="8">
        <f>-1*((RawData!AD39-AVERAGE(RawData!$AD$3:$AD$40))/STDEV(RawData!$AD$3:$AD$40))</f>
        <v>-0.42727718108235579</v>
      </c>
      <c r="AE40" s="8">
        <f>-1*((RawData!AE39-AVERAGE(RawData!$AE$3:$AE$40))/STDEV(RawData!$AE$3:$AE$40))</f>
        <v>1.0401304461601151</v>
      </c>
      <c r="AF40" s="8">
        <f>-1*((RawData!AF39-AVERAGE(RawData!$AF$3:$AF$40))/STDEV(RawData!$AF$3:$AF$40))</f>
        <v>-1.6511558949637932</v>
      </c>
      <c r="AG40" s="8">
        <f>-1*((RawData!AG39-AVERAGE(RawData!$AG$3:$AG$40))/STDEV(RawData!$AG$3:$AG$40))</f>
        <v>-1.2218766124860361</v>
      </c>
      <c r="AH40" s="8">
        <f>((RawData!AH39-AVERAGE(RawData!$AH$3:$AH$40))/STDEV(RawData!$AH$3:$AH$40))</f>
        <v>0.32819244752489102</v>
      </c>
      <c r="AI40" s="8">
        <f>((RawData!AI39-AVERAGE(RawData!$AI$3:$AI$40))/STDEV(RawData!$AI$3:$AI$40))</f>
        <v>0.55436815918081928</v>
      </c>
      <c r="AJ40" s="8">
        <f>-1*((RawData!AJ39-AVERAGE(RawData!$AJ$3:$AJ$40))/STDEV(RawData!$AJ$3:$AJ$40))</f>
        <v>0.98675438206593025</v>
      </c>
      <c r="AK40" s="8">
        <f>-1*((RawData!AK39-AVERAGE(RawData!$AK$3:$AK$40))/STDEV(RawData!$AK$3:$AK$40))</f>
        <v>0.5503611349604679</v>
      </c>
      <c r="AL40" s="8">
        <f>-1*((RawData!AL39-AVERAGE(RawData!$AL$3:$AL$40))/STDEV(RawData!$AL$3:$AL$40))</f>
        <v>0.42149550841180994</v>
      </c>
      <c r="AM40" s="8">
        <f>-1*((RawData!AM39-AVERAGE(RawData!$AM$3:$AM$40))/STDEV(RawData!$AM$3:$AM$40))</f>
        <v>-0.24215867793331902</v>
      </c>
      <c r="AN40" s="8">
        <f>((RawData!AN39-AVERAGE(RawData!$AN$3:$AN$40))/STDEV(RawData!$AN$3:$AN$40))</f>
        <v>0.64241904242542103</v>
      </c>
      <c r="AO40" s="8">
        <f>-1*((RawData!AO39-AVERAGE(RawData!$AO$3:$AO$40))/STDEV(RawData!$AO$3:$AO$40))</f>
        <v>-1.3355779146409208</v>
      </c>
      <c r="AP40" s="8">
        <f>-1*((RawData!AP39-AVERAGE(RawData!$AP$3:$AP$40))/STDEV(RawData!$AP$3:$AP$40))</f>
        <v>1.5588061522633978</v>
      </c>
      <c r="AQ40" s="8">
        <f>-1*((RawData!AQ39-AVERAGE(RawData!$AQ$3:$AQ$40))/STDEV(RawData!$AQ$3:$AQ$40))</f>
        <v>-0.6827406491476623</v>
      </c>
    </row>
    <row r="41" spans="1:43" x14ac:dyDescent="0.3">
      <c r="A41" s="6" t="str">
        <f>RawData!A40</f>
        <v>United States</v>
      </c>
      <c r="B41" s="8">
        <f>-1*((RawData!B40-AVERAGE(RawData!$B$3:$B$40))/STDEV(RawData!$B$3:$B$40))</f>
        <v>-0.2511895286341036</v>
      </c>
      <c r="C41" s="8">
        <f>((RawData!C40-AVERAGE(RawData!$C$3:$C$40))/STDEV(RawData!$C$3:$C$40))</f>
        <v>-0.24662997877514239</v>
      </c>
      <c r="D41" s="8">
        <f>((RawData!D40-AVERAGE(RawData!$D$3:$D$40))/STDEV(RawData!$D$3:$D$40))</f>
        <v>0.84354448260534409</v>
      </c>
      <c r="E41" s="8">
        <f>((RawData!E40-AVERAGE(RawData!$E$3:$E$40))/STDEV(RawData!$E$3:$E$40))</f>
        <v>1.7625146972280528</v>
      </c>
      <c r="F41" s="8">
        <f>((RawData!F40-AVERAGE(RawData!$F$3:$F$40))/STDEV(RawData!$F$3:$F$40))</f>
        <v>2.5923737358686152</v>
      </c>
      <c r="G41" s="8">
        <f>((RawData!G40-AVERAGE(RawData!$G$3:$G$40))/STDEV(RawData!$G$3:$G$40))</f>
        <v>-0.75848453291243501</v>
      </c>
      <c r="H41" s="8">
        <f>((RawData!H40-AVERAGE(RawData!$H$3:$H$40))/STDEV(RawData!$H$3:$H$40))</f>
        <v>1.1791341714277106</v>
      </c>
      <c r="I41" s="8">
        <f>((RawData!I40-AVERAGE(RawData!$I$3:$I$40))/STDEV(RawData!$I$3:$I$40))</f>
        <v>-0.38409362229254129</v>
      </c>
      <c r="J41" s="8">
        <f>-1*((RawData!J40-AVERAGE(RawData!$J$3:$J$40))/STDEV(RawData!$J$3:$J$40))</f>
        <v>-1.0401304461601153</v>
      </c>
      <c r="K41" s="8">
        <f>-1*((RawData!K40-AVERAGE(RawData!$K$3:$K$40))/STDEV(RawData!$K$3:$K$40))</f>
        <v>1.1587824674964409</v>
      </c>
      <c r="L41" s="8">
        <f>-1*((RawData!L40-AVERAGE(RawData!$L$3:$L$40))/STDEV(RawData!$L$3:$L$40))</f>
        <v>0.6703675950928768</v>
      </c>
      <c r="M41" s="8">
        <f>-1*((RawData!M40-AVERAGE(RawData!$M$3:$M$40))/STDEV(RawData!$M$3:$M$40))</f>
        <v>-9.4100449535706648E-2</v>
      </c>
      <c r="N41" s="8">
        <f>-1*((RawData!N40-AVERAGE(RawData!$N$3:$N$40))/STDEV(RawData!$N$3:$N$40))</f>
        <v>0.33845396081495521</v>
      </c>
      <c r="O41" s="8">
        <f>-1*((AbsValues!B40-AVERAGE(AbsValues!$B$3:$B$40))/STDEV(AbsValues!$B$3:$B$40))</f>
        <v>0.59391264411659439</v>
      </c>
      <c r="P41" s="8">
        <f>-1*((RawData!P40-AVERAGE(RawData!$P$3:$P$40))/STDEV(RawData!$P$3:$P$40))</f>
        <v>1.5666162672897235E-2</v>
      </c>
      <c r="Q41" s="8">
        <f>-1*((RawData!Q40-AVERAGE(RawData!$Q$3:$Q$40))/STDEV(RawData!$Q$3:$Q$40))</f>
        <v>-0.18645457453030737</v>
      </c>
      <c r="R41" s="8">
        <f>-1*((RawData!R40-AVERAGE(RawData!$R$3:$R$40))/STDEV(RawData!$R$3:$R$40))</f>
        <v>-6.0536876779530346E-2</v>
      </c>
      <c r="S41" s="8">
        <f>-1*((RawData!S40-AVERAGE(RawData!$S$3:$S$40))/STDEV(RawData!$S$3:$S$40))</f>
        <v>0.33845396081495521</v>
      </c>
      <c r="T41" s="8">
        <f>-1*((AbsValues!C40-AVERAGE(AbsValues!$C$3:$C$40))/STDEV(AbsValues!$C$3:$C$40))</f>
        <v>0.32073762283238327</v>
      </c>
      <c r="U41" s="8">
        <f>-1*((RawData!U40-AVERAGE(RawData!$U$3:$U$40))/STDEV(RawData!$U$3:$U$40))</f>
        <v>-0.67240704184955791</v>
      </c>
      <c r="V41" s="8">
        <f>-1*((RawData!V40-AVERAGE(RawData!$V$3:$V$40))/STDEV(RawData!$V$3:$V$40))</f>
        <v>-0.34499913953792966</v>
      </c>
      <c r="W41" s="8">
        <f>-1*((RawData!W40-AVERAGE(RawData!$W$3:$W$40))/STDEV(RawData!$W$3:$W$40))</f>
        <v>2.2804982151422339</v>
      </c>
      <c r="X41" s="8">
        <f>-1*((RawData!X40-AVERAGE(RawData!$X$3:$X$40))/STDEV(RawData!$X$3:$X$40))</f>
        <v>1.1513215097767115</v>
      </c>
      <c r="Y41" s="8">
        <f>((RawData!Y40-AVERAGE(RawData!$Y$3:$Y$40))/STDEV(RawData!$Y$3:$Y$40))</f>
        <v>-1.5819827782281344</v>
      </c>
      <c r="Z41" s="8">
        <f>((RawData!Z40-AVERAGE(RawData!$Z$3:$Z$40))/STDEV(RawData!$Z$3:$Z$40))</f>
        <v>0.18465614162816085</v>
      </c>
      <c r="AA41" s="8">
        <f>-1*((RawData!AA40-AVERAGE(RawData!$AA$3:$AA$40))/STDEV(RawData!$AA$3:$AA$40))</f>
        <v>-2.5206137351363647</v>
      </c>
      <c r="AB41" s="8">
        <f>-1*((RawData!AB40-AVERAGE(RawData!$AB$3:$AB$40))/STDEV(RawData!$AB$3:$AB$40))</f>
        <v>0.4427560587692117</v>
      </c>
      <c r="AC41" s="8">
        <f>-1*((RawData!AC40-AVERAGE(RawData!$AC$3:$AC$40))/STDEV(RawData!$AC$3:$AC$40))</f>
        <v>-0.6703675950928768</v>
      </c>
      <c r="AD41" s="8">
        <f>-1*((RawData!AD40-AVERAGE(RawData!$AD$3:$AD$40))/STDEV(RawData!$AD$3:$AD$40))</f>
        <v>-0.42727718108235579</v>
      </c>
      <c r="AE41" s="8">
        <f>-1*((RawData!AE40-AVERAGE(RawData!$AE$3:$AE$40))/STDEV(RawData!$AE$3:$AE$40))</f>
        <v>-0.93611740154410361</v>
      </c>
      <c r="AF41" s="8">
        <f>-1*((RawData!AF40-AVERAGE(RawData!$AF$3:$AF$40))/STDEV(RawData!$AF$3:$AF$40))</f>
        <v>0.58969853391564031</v>
      </c>
      <c r="AG41" s="8">
        <f>-1*((RawData!AG40-AVERAGE(RawData!$AG$3:$AG$40))/STDEV(RawData!$AG$3:$AG$40))</f>
        <v>0.79687605162132791</v>
      </c>
      <c r="AH41" s="8">
        <f>((RawData!AH40-AVERAGE(RawData!$AH$3:$AH$40))/STDEV(RawData!$AH$3:$AH$40))</f>
        <v>0.32819244752489102</v>
      </c>
      <c r="AI41" s="8">
        <f>((RawData!AI40-AVERAGE(RawData!$AI$3:$AI$40))/STDEV(RawData!$AI$3:$AI$40))</f>
        <v>-1.9852328111472262</v>
      </c>
      <c r="AJ41" s="8">
        <f>-1*((RawData!AJ40-AVERAGE(RawData!$AJ$3:$AJ$40))/STDEV(RawData!$AJ$3:$AJ$40))</f>
        <v>0.98675438206593025</v>
      </c>
      <c r="AK41" s="8">
        <f>-1*((RawData!AK40-AVERAGE(RawData!$AK$3:$AK$40))/STDEV(RawData!$AK$3:$AK$40))</f>
        <v>-0.95570404628472072</v>
      </c>
      <c r="AL41" s="8">
        <f>-1*((RawData!AL40-AVERAGE(RawData!$AL$3:$AL$40))/STDEV(RawData!$AL$3:$AL$40))</f>
        <v>-1.324969361247853</v>
      </c>
      <c r="AM41" s="8">
        <f>-1*((RawData!AM40-AVERAGE(RawData!$AM$3:$AM$40))/STDEV(RawData!$AM$3:$AM$40))</f>
        <v>-1.2505450415809141</v>
      </c>
      <c r="AN41" s="8">
        <f>((RawData!AN40-AVERAGE(RawData!$AN$3:$AN$40))/STDEV(RawData!$AN$3:$AN$40))</f>
        <v>-0.44672831873275415</v>
      </c>
      <c r="AO41" s="8">
        <f>-1*((RawData!AO40-AVERAGE(RawData!$AO$3:$AO$40))/STDEV(RawData!$AO$3:$AO$40))</f>
        <v>0.61642057643857884</v>
      </c>
      <c r="AP41" s="8">
        <f>-1*((RawData!AP40-AVERAGE(RawData!$AP$3:$AP$40))/STDEV(RawData!$AP$3:$AP$40))</f>
        <v>-0.48376742656450294</v>
      </c>
      <c r="AQ41" s="8">
        <f>-1*((RawData!AQ40-AVERAGE(RawData!$AQ$3:$AQ$40))/STDEV(RawData!$AQ$3:$AQ$40))</f>
        <v>-0.6827406491476623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0"/>
  <sheetViews>
    <sheetView workbookViewId="0">
      <selection activeCell="M9" sqref="M9"/>
    </sheetView>
  </sheetViews>
  <sheetFormatPr defaultRowHeight="14.4" x14ac:dyDescent="0.3"/>
  <sheetData>
    <row r="1" spans="1:16" ht="18" x14ac:dyDescent="0.35">
      <c r="A1" s="4" t="s">
        <v>101</v>
      </c>
    </row>
    <row r="2" spans="1:16" s="10" customFormat="1" ht="57.6" x14ac:dyDescent="0.3">
      <c r="A2" s="9" t="s">
        <v>17</v>
      </c>
      <c r="B2" s="9" t="s">
        <v>18</v>
      </c>
      <c r="C2" s="9" t="s">
        <v>102</v>
      </c>
      <c r="D2" s="9" t="s">
        <v>103</v>
      </c>
      <c r="E2" s="9" t="s">
        <v>104</v>
      </c>
      <c r="F2" s="9" t="s">
        <v>105</v>
      </c>
      <c r="G2" s="9" t="s">
        <v>106</v>
      </c>
      <c r="H2" s="9" t="s">
        <v>107</v>
      </c>
      <c r="I2" s="9" t="s">
        <v>108</v>
      </c>
      <c r="J2" s="9" t="s">
        <v>109</v>
      </c>
      <c r="K2" s="9" t="s">
        <v>110</v>
      </c>
      <c r="L2" s="9" t="s">
        <v>111</v>
      </c>
      <c r="M2" s="9" t="s">
        <v>112</v>
      </c>
      <c r="N2" s="9" t="s">
        <v>113</v>
      </c>
      <c r="O2" s="9" t="s">
        <v>56</v>
      </c>
      <c r="P2" s="9" t="s">
        <v>114</v>
      </c>
    </row>
    <row r="3" spans="1:16" x14ac:dyDescent="0.3">
      <c r="A3" s="6" t="str">
        <f>RawData!A3</f>
        <v>Austria</v>
      </c>
      <c r="B3" s="8">
        <f>(ZScores!B4)/1</f>
        <v>0.21976871883910504</v>
      </c>
      <c r="C3" s="8">
        <f>(ZScores!C4+ZScores!D4+ZScores!E4+ZScores!F4+ZScores!G4+ZScores!H4+ZScores!I4)/7</f>
        <v>8.7334193702910165E-2</v>
      </c>
      <c r="D3" s="8">
        <f>(ZScores!J4+ZScores!K4+ZScores!L4+ZScores!M4+ZScores!N4+ZScores!O4)/6</f>
        <v>-0.17185144683495687</v>
      </c>
      <c r="E3" s="8">
        <f>(ZScores!P4+ZScores!Q4+ZScores!R4)/3</f>
        <v>-0.56449664495198193</v>
      </c>
      <c r="F3" s="8">
        <f>(ZScores!S4+ZScores!T4)/2</f>
        <v>0.32959579182366927</v>
      </c>
      <c r="G3" s="8">
        <f>(ZScores!U4+ZScores!V4)/2</f>
        <v>-0.40585345289725305</v>
      </c>
      <c r="H3" s="8">
        <f>(ZScores!W4)/1</f>
        <v>-0.12455651885545976</v>
      </c>
      <c r="I3" s="8">
        <f>(ZScores!X4+ZScores!Y4)/2</f>
        <v>6.7896098318073306E-2</v>
      </c>
      <c r="J3" s="8">
        <f>(ZScores!Z4+ZScores!AA4)/2</f>
        <v>-0.81376412241540041</v>
      </c>
      <c r="K3" s="8">
        <f>(ZScores!AB4+ZScores!AC4)/2</f>
        <v>0.94760959073522244</v>
      </c>
      <c r="L3" s="8">
        <f>(ZScores!AD4+ZScores!AE4+ZScores!AF4+ZScores!AG4)/4</f>
        <v>5.7950007276271753E-3</v>
      </c>
      <c r="M3" s="8">
        <f>(ZScores!AH4+ZScores!AI4+ZScores!AJ4)/3</f>
        <v>0.62310499625721361</v>
      </c>
      <c r="N3" s="8">
        <f>(ZScores!AK4+ZScores!AL4+ZScores!AM4)/3</f>
        <v>0.11595869418815545</v>
      </c>
      <c r="O3" s="8">
        <f>(ZScores!AN4)/1</f>
        <v>0.49219182019670726</v>
      </c>
      <c r="P3" s="8">
        <f>(ZScores!AO4+ZScores!AP4+ZScores!AQ4)/3</f>
        <v>-0.83402866345102866</v>
      </c>
    </row>
    <row r="4" spans="1:16" x14ac:dyDescent="0.3">
      <c r="A4" s="6" t="str">
        <f>RawData!A4</f>
        <v>Australia</v>
      </c>
      <c r="B4" s="8">
        <f>(ZScores!B5)/1</f>
        <v>-1.0631397029979017</v>
      </c>
      <c r="C4" s="8">
        <f>(ZScores!C5+ZScores!D5+ZScores!E5+ZScores!F5+ZScores!G5+ZScores!H5+ZScores!I5)/7</f>
        <v>-0.13563177011074098</v>
      </c>
      <c r="D4" s="8">
        <f>(ZScores!J5+ZScores!K5+ZScores!L5+ZScores!M5+ZScores!N5+ZScores!O5)/6</f>
        <v>0.29901542083409899</v>
      </c>
      <c r="E4" s="8">
        <f>(ZScores!P5+ZScores!Q5+ZScores!R5)/3</f>
        <v>3.0696434967259545E-2</v>
      </c>
      <c r="F4" s="8">
        <f>(ZScores!S5+ZScores!T5)/2</f>
        <v>0.32959579182366927</v>
      </c>
      <c r="G4" s="8">
        <f>(ZScores!U5+ZScores!V5)/2</f>
        <v>-0.11397039357197344</v>
      </c>
      <c r="H4" s="8">
        <f>(ZScores!W5)/1</f>
        <v>1.7994872683426952</v>
      </c>
      <c r="I4" s="8">
        <f>(ZScores!X5+ZScores!Y5)/2</f>
        <v>-0.36754748581427182</v>
      </c>
      <c r="J4" s="8">
        <f>(ZScores!Z5+ZScores!AA5)/2</f>
        <v>1.5910563507630493</v>
      </c>
      <c r="K4" s="8">
        <f>(ZScores!AB5+ZScores!AC5)/2</f>
        <v>0.94760959073522244</v>
      </c>
      <c r="L4" s="8">
        <f>(ZScores!AD5+ZScores!AE5+ZScores!AF5+ZScores!AG5)/4</f>
        <v>5.7950007276271753E-3</v>
      </c>
      <c r="M4" s="8">
        <f>(ZScores!AH5+ZScores!AI5+ZScores!AJ5)/3</f>
        <v>0.62310499625721361</v>
      </c>
      <c r="N4" s="8">
        <f>(ZScores!AK5+ZScores!AL5+ZScores!AM5)/3</f>
        <v>-0.59491785981794154</v>
      </c>
      <c r="O4" s="8">
        <f>(ZScores!AN5)/1</f>
        <v>-1.0476372076476095</v>
      </c>
      <c r="P4" s="8">
        <f>(ZScores!AO5+ZScores!AP5+ZScores!AQ5)/3</f>
        <v>-0.18336249975786215</v>
      </c>
    </row>
    <row r="5" spans="1:16" x14ac:dyDescent="0.3">
      <c r="A5" s="6" t="str">
        <f>RawData!A5</f>
        <v>Belgium</v>
      </c>
      <c r="B5" s="8">
        <f>(ZScores!B6)/1</f>
        <v>-0.14677654454289685</v>
      </c>
      <c r="C5" s="8">
        <f>(ZScores!C6+ZScores!D6+ZScores!E6+ZScores!F6+ZScores!G6+ZScores!H6+ZScores!I6)/7</f>
        <v>0.30504260554872215</v>
      </c>
      <c r="D5" s="8">
        <f>(ZScores!J6+ZScores!K6+ZScores!L6+ZScores!M6+ZScores!N6+ZScores!O6)/6</f>
        <v>7.9179898156960124E-2</v>
      </c>
      <c r="E5" s="8">
        <f>(ZScores!P6+ZScores!Q6+ZScores!R6)/3</f>
        <v>-0.34927693656262754</v>
      </c>
      <c r="F5" s="8">
        <f>(ZScores!S6+ZScores!T6)/2</f>
        <v>0.32959579182366927</v>
      </c>
      <c r="G5" s="8">
        <f>(ZScores!U6+ZScores!V6)/2</f>
        <v>0.52467977156850731</v>
      </c>
      <c r="H5" s="8">
        <f>(ZScores!W6)/1</f>
        <v>-0.31696089757527524</v>
      </c>
      <c r="I5" s="8">
        <f>(ZScores!X6+ZScores!Y6)/2</f>
        <v>-0.27323913496346203</v>
      </c>
      <c r="J5" s="8">
        <f>(ZScores!Z6+ZScores!AA6)/2</f>
        <v>-0.22687415245217138</v>
      </c>
      <c r="K5" s="8">
        <f>(ZScores!AB6+ZScores!AC6)/2</f>
        <v>-0.8785662333086528</v>
      </c>
      <c r="L5" s="8">
        <f>(ZScores!AD6+ZScores!AE6+ZScores!AF6+ZScores!AG6)/4</f>
        <v>-0.49889316529921379</v>
      </c>
      <c r="M5" s="8">
        <f>(ZScores!AH6+ZScores!AI6+ZScores!AJ6)/3</f>
        <v>0.62310499625721361</v>
      </c>
      <c r="N5" s="8">
        <f>(ZScores!AK6+ZScores!AL6+ZScores!AM6)/3</f>
        <v>-1.1770728163711626</v>
      </c>
      <c r="O5" s="8">
        <f>(ZScores!AN6)/1</f>
        <v>0.71753265353977802</v>
      </c>
      <c r="P5" s="8">
        <f>(ZScores!AO6+ZScores!AP6+ZScores!AQ6)/3</f>
        <v>-0.83402866345102866</v>
      </c>
    </row>
    <row r="6" spans="1:16" x14ac:dyDescent="0.3">
      <c r="A6" s="6" t="str">
        <f>RawData!A6</f>
        <v>Canada</v>
      </c>
      <c r="B6" s="8">
        <f>(ZScores!B7)/1</f>
        <v>-0.3265948536717862</v>
      </c>
      <c r="C6" s="8">
        <f>(ZScores!C7+ZScores!D7+ZScores!E7+ZScores!F7+ZScores!G7+ZScores!H7+ZScores!I7)/7</f>
        <v>-0.11860991975199243</v>
      </c>
      <c r="D6" s="8">
        <f>(ZScores!J7+ZScores!K7+ZScores!L7+ZScores!M7+ZScores!N7+ZScores!O7)/6</f>
        <v>0.18464828585084583</v>
      </c>
      <c r="E6" s="8">
        <f>(ZScores!P7+ZScores!Q7+ZScores!R7)/3</f>
        <v>-9.3892783219359163E-2</v>
      </c>
      <c r="F6" s="8">
        <f>(ZScores!S7+ZScores!T7)/2</f>
        <v>0.32959579182366927</v>
      </c>
      <c r="G6" s="8">
        <f>(ZScores!U7+ZScores!V7)/2</f>
        <v>-0.89564211311538422</v>
      </c>
      <c r="H6" s="8">
        <f>(ZScores!W7)/1</f>
        <v>1.3569571972871195</v>
      </c>
      <c r="I6" s="8">
        <f>(ZScores!X7+ZScores!Y7)/2</f>
        <v>0.19089916596371725</v>
      </c>
      <c r="J6" s="8">
        <f>(ZScores!Z7+ZScores!AA7)/2</f>
        <v>-0.62739129526056892</v>
      </c>
      <c r="K6" s="8">
        <f>(ZScores!AB7+ZScores!AC7)/2</f>
        <v>0.94760959073522244</v>
      </c>
      <c r="L6" s="8">
        <f>(ZScores!AD7+ZScores!AE7+ZScores!AF7+ZScores!AG7)/4</f>
        <v>-0.55441860649223118</v>
      </c>
      <c r="M6" s="8">
        <f>(ZScores!AH7+ZScores!AI7+ZScores!AJ7)/3</f>
        <v>-0.45799808684141424</v>
      </c>
      <c r="N6" s="8">
        <f>(ZScores!AK7+ZScores!AL7+ZScores!AM7)/3</f>
        <v>-0.69612910759768176</v>
      </c>
      <c r="O6" s="8">
        <f>(ZScores!AN7)/1</f>
        <v>0.75508945909695646</v>
      </c>
      <c r="P6" s="8">
        <f>(ZScores!AO7+ZScores!AP7+ZScores!AQ7)/3</f>
        <v>0.49749535985143806</v>
      </c>
    </row>
    <row r="7" spans="1:16" x14ac:dyDescent="0.3">
      <c r="A7" s="6" t="str">
        <f>RawData!A7</f>
        <v>Switzerland</v>
      </c>
      <c r="B7" s="8">
        <f>(ZScores!B8)/1</f>
        <v>0.84146229133605344</v>
      </c>
      <c r="C7" s="8">
        <f>(ZScores!C8+ZScores!D8+ZScores!E8+ZScores!F8+ZScores!G8+ZScores!H8+ZScores!I8)/7</f>
        <v>9.3009732003565729E-2</v>
      </c>
      <c r="D7" s="8">
        <f>(ZScores!J8+ZScores!K8+ZScores!L8+ZScores!M8+ZScores!N8+ZScores!O8)/6</f>
        <v>-0.26276367732824646</v>
      </c>
      <c r="E7" s="8">
        <f>(ZScores!P8+ZScores!Q8+ZScores!R8)/3</f>
        <v>0.17482240722620954</v>
      </c>
      <c r="F7" s="8">
        <f>(ZScores!S8+ZScores!T8)/2</f>
        <v>0.32959579182366927</v>
      </c>
      <c r="G7" s="8">
        <f>(ZScores!U8+ZScores!V8)/2</f>
        <v>0.86789560258889598</v>
      </c>
      <c r="H7" s="8">
        <f>(ZScores!W8)/1</f>
        <v>2.1650555879103446</v>
      </c>
      <c r="I7" s="8">
        <f>(ZScores!X8+ZScores!Y8)/2</f>
        <v>3.0322697274292931E-2</v>
      </c>
      <c r="J7" s="8">
        <f>(ZScores!Z8+ZScores!AA8)/2</f>
        <v>0.36923112542674752</v>
      </c>
      <c r="K7" s="8">
        <f>(ZScores!AB8+ZScores!AC8)/2</f>
        <v>-1.6433266984554729</v>
      </c>
      <c r="L7" s="8">
        <f>(ZScores!AD8+ZScores!AE8+ZScores!AF8+ZScores!AG8)/4</f>
        <v>-1.0591067725190721</v>
      </c>
      <c r="M7" s="8">
        <f>(ZScores!AH8+ZScores!AI8+ZScores!AJ8)/3</f>
        <v>0.62310499625721361</v>
      </c>
      <c r="N7" s="8">
        <f>(ZScores!AK8+ZScores!AL8+ZScores!AM8)/3</f>
        <v>-0.48156576755578234</v>
      </c>
      <c r="O7" s="8">
        <f>(ZScores!AN8)/1</f>
        <v>1.2808847368974547</v>
      </c>
      <c r="P7" s="8">
        <f>(ZScores!AO8+ZScores!AP8+ZScores!AQ8)/3</f>
        <v>1.5241636182246523</v>
      </c>
    </row>
    <row r="8" spans="1:16" x14ac:dyDescent="0.3">
      <c r="A8" s="6" t="str">
        <f>RawData!A8</f>
        <v>Chile</v>
      </c>
      <c r="B8" s="8">
        <f>(ZScores!B9)/1</f>
        <v>-0.51332180792489923</v>
      </c>
      <c r="C8" s="8">
        <f>(ZScores!C9+ZScores!D9+ZScores!E9+ZScores!F9+ZScores!G9+ZScores!H9+ZScores!I9)/7</f>
        <v>-1.0669063780013686</v>
      </c>
      <c r="D8" s="8">
        <f>(ZScores!J9+ZScores!K9+ZScores!L9+ZScores!M9+ZScores!N9+ZScores!O9)/6</f>
        <v>0.4426923312404889</v>
      </c>
      <c r="E8" s="8">
        <f>(ZScores!P9+ZScores!Q9+ZScores!R9)/3</f>
        <v>-0.14030183290036438</v>
      </c>
      <c r="F8" s="8">
        <f>(ZScores!S9+ZScores!T9)/2</f>
        <v>0.32959579182366927</v>
      </c>
      <c r="G8" s="8">
        <f>(ZScores!U9+ZScores!V9)/2</f>
        <v>-0.72121973711693366</v>
      </c>
      <c r="H8" s="8">
        <f>(ZScores!W9)/1</f>
        <v>6.7847859864355736E-2</v>
      </c>
      <c r="I8" s="8">
        <f>(ZScores!X9+ZScores!Y9)/2</f>
        <v>1.0498951586943526</v>
      </c>
      <c r="J8" s="8">
        <f>(ZScores!Z9+ZScores!AA9)/2</f>
        <v>0.45383418697526223</v>
      </c>
      <c r="K8" s="8">
        <f>(ZScores!AB9+ZScores!AC9)/2</f>
        <v>-0.11380576816183255</v>
      </c>
      <c r="L8" s="8">
        <f>(ZScores!AD9+ZScores!AE9+ZScores!AF9+ZScores!AG9)/4</f>
        <v>0.68231720410802366</v>
      </c>
      <c r="M8" s="8">
        <f>(ZScores!AH9+ZScores!AI9+ZScores!AJ9)/3</f>
        <v>-2.1111774404706272</v>
      </c>
      <c r="N8" s="8">
        <f>(ZScores!AK9+ZScores!AL9+ZScores!AM9)/3</f>
        <v>-1.4899521312033777</v>
      </c>
      <c r="O8" s="8">
        <f>(ZScores!AN9)/1</f>
        <v>-1.4607620687765726</v>
      </c>
      <c r="P8" s="8">
        <f>(ZScores!AO9+ZScores!AP9+ZScores!AQ9)/3</f>
        <v>0.92416647126894647</v>
      </c>
    </row>
    <row r="9" spans="1:16" x14ac:dyDescent="0.3">
      <c r="A9" s="6" t="str">
        <f>RawData!A9</f>
        <v>Colombia</v>
      </c>
      <c r="B9" s="8">
        <f>(ZScores!B10)/1</f>
        <v>-1.9795028614529069</v>
      </c>
      <c r="C9" s="8">
        <f>(ZScores!C10+ZScores!D10+ZScores!E10+ZScores!F10+ZScores!G10+ZScores!H10+ZScores!I10)/7</f>
        <v>-0.52249771427731651</v>
      </c>
      <c r="D9" s="8">
        <f>(ZScores!J10+ZScores!K10+ZScores!L10+ZScores!M10+ZScores!N10+ZScores!O10)/6</f>
        <v>3.3567072024582839E-2</v>
      </c>
      <c r="E9" s="8">
        <f>(ZScores!P10+ZScores!Q10+ZScores!R10)/3</f>
        <v>0.31195050095370852</v>
      </c>
      <c r="F9" s="8">
        <f>(ZScores!S10+ZScores!T10)/2</f>
        <v>-9.2469635877052786E-2</v>
      </c>
      <c r="G9" s="8">
        <f>(ZScores!U10+ZScores!V10)/2</f>
        <v>0.39495389024668781</v>
      </c>
      <c r="H9" s="8">
        <f>(ZScores!W10)/1</f>
        <v>6.7847859864355736E-2</v>
      </c>
      <c r="I9" s="8">
        <f>(ZScores!X10+ZScores!Y10)/2</f>
        <v>-0.10862857854282704</v>
      </c>
      <c r="J9" s="8">
        <f>(ZScores!Z10+ZScores!AA10)/2</f>
        <v>0.45449519328968424</v>
      </c>
      <c r="K9" s="8">
        <f>(ZScores!AB10+ZScores!AC10)/2</f>
        <v>-1.6433266984554729</v>
      </c>
      <c r="L9" s="8">
        <f>(ZScores!AD10+ZScores!AE10+ZScores!AF10+ZScores!AG10)/4</f>
        <v>-0.56504481059301748</v>
      </c>
      <c r="M9" s="8">
        <f>(ZScores!AH10+ZScores!AI10+ZScores!AJ10)/3</f>
        <v>-1.4533411857600071</v>
      </c>
      <c r="N9" s="8">
        <f>(ZScores!AK10+ZScores!AL10+ZScores!AM10)/3</f>
        <v>-0.21518539882420085</v>
      </c>
      <c r="O9" s="8">
        <f>(ZScores!AN10)/1</f>
        <v>-2.3245685965916771</v>
      </c>
      <c r="P9" s="8">
        <f>(ZScores!AO10+ZScores!AP10+ZScores!AQ10)/3</f>
        <v>0.59883338942236319</v>
      </c>
    </row>
    <row r="10" spans="1:16" x14ac:dyDescent="0.3">
      <c r="A10" s="6" t="str">
        <f>RawData!A10</f>
        <v>Costa Rica</v>
      </c>
      <c r="B10" s="8">
        <f>(ZScores!B11)/1</f>
        <v>-1.0631397029979017</v>
      </c>
      <c r="C10" s="8">
        <f>(ZScores!C11+ZScores!D11+ZScores!E11+ZScores!F11+ZScores!G11+ZScores!H11+ZScores!I11)/7</f>
        <v>-0.53294170271130592</v>
      </c>
      <c r="D10" s="8">
        <f>(ZScores!J11+ZScores!K11+ZScores!L11+ZScores!M11+ZScores!N11+ZScores!O11)/6</f>
        <v>-8.6187155859686171E-2</v>
      </c>
      <c r="E10" s="8">
        <f>(ZScores!P11+ZScores!Q11+ZScores!R11)/3</f>
        <v>0.67848113516992037</v>
      </c>
      <c r="F10" s="8">
        <f>(ZScores!S11+ZScores!T11)/2</f>
        <v>-1.7610320167584661</v>
      </c>
      <c r="G10" s="8">
        <f>(ZScores!U11+ZScores!V11)/2</f>
        <v>0.61370202983903244</v>
      </c>
      <c r="H10" s="8">
        <f>(ZScores!W11)/1</f>
        <v>1.2222741321832487</v>
      </c>
      <c r="I10" s="8">
        <f>(ZScores!X11+ZScores!Y11)/2</f>
        <v>0.35990817190927471</v>
      </c>
      <c r="J10" s="8">
        <f>(ZScores!Z11+ZScores!AA11)/2</f>
        <v>0.45416999987323481</v>
      </c>
      <c r="K10" s="8">
        <f>(ZScores!AB11+ZScores!AC11)/2</f>
        <v>0.94760959073522244</v>
      </c>
      <c r="L10" s="8">
        <f>(ZScores!AD11+ZScores!AE11+ZScores!AF11+ZScores!AG11)/4</f>
        <v>-0.49889316529921379</v>
      </c>
      <c r="M10" s="8">
        <f>(ZScores!AH11+ZScores!AI11+ZScores!AJ11)/3</f>
        <v>0.62310499625721361</v>
      </c>
      <c r="N10" s="8">
        <f>(ZScores!AK11+ZScores!AL11+ZScores!AM11)/3</f>
        <v>-7.0370477933251505E-2</v>
      </c>
      <c r="O10" s="8">
        <f>(ZScores!AN11)/1</f>
        <v>-2.7001366521634615</v>
      </c>
      <c r="P10" s="8">
        <f>(ZScores!AO11+ZScores!AP11+ZScores!AQ11)/3</f>
        <v>1.2193078552473975</v>
      </c>
    </row>
    <row r="11" spans="1:16" x14ac:dyDescent="0.3">
      <c r="A11" s="6" t="str">
        <f>RawData!A11</f>
        <v>Czech Republic</v>
      </c>
      <c r="B11" s="8">
        <f>(ZScores!B12)/1</f>
        <v>0.58631398222110742</v>
      </c>
      <c r="C11" s="8">
        <f>(ZScores!C12+ZScores!D12+ZScores!E12+ZScores!F12+ZScores!G12+ZScores!H12+ZScores!I12)/7</f>
        <v>-0.14387204307537166</v>
      </c>
      <c r="D11" s="8">
        <f>(ZScores!J12+ZScores!K12+ZScores!L12+ZScores!M12+ZScores!N12+ZScores!O12)/6</f>
        <v>0.46080378886082496</v>
      </c>
      <c r="E11" s="8">
        <f>(ZScores!P12+ZScores!Q12+ZScores!R12)/3</f>
        <v>0.73078513666790423</v>
      </c>
      <c r="F11" s="8">
        <f>(ZScores!S12+ZScores!T12)/2</f>
        <v>0.32959579182366927</v>
      </c>
      <c r="G11" s="8">
        <f>(ZScores!U12+ZScores!V12)/2</f>
        <v>-3.8813479112190269E-2</v>
      </c>
      <c r="H11" s="8">
        <f>(ZScores!W12)/1</f>
        <v>-0.31696089757527524</v>
      </c>
      <c r="I11" s="8">
        <f>(ZScores!X12+ZScores!Y12)/2</f>
        <v>-0.82991188748190237</v>
      </c>
      <c r="J11" s="8">
        <f>(ZScores!Z12+ZScores!AA12)/2</f>
        <v>0.45077033761775342</v>
      </c>
      <c r="K11" s="8">
        <f>(ZScores!AB12+ZScores!AC12)/2</f>
        <v>-0.11380576816183255</v>
      </c>
      <c r="L11" s="8">
        <f>(ZScores!AD12+ZScores!AE12+ZScores!AF12+ZScores!AG12)/4</f>
        <v>1.1763791660340783</v>
      </c>
      <c r="M11" s="8">
        <f>(ZScores!AH12+ZScores!AI12+ZScores!AJ12)/3</f>
        <v>-3.4731258453406633E-2</v>
      </c>
      <c r="N11" s="8">
        <f>(ZScores!AK12+ZScores!AL12+ZScores!AM12)/3</f>
        <v>0.26575830994928035</v>
      </c>
      <c r="O11" s="8">
        <f>(ZScores!AN12)/1</f>
        <v>0.83020307021131334</v>
      </c>
      <c r="P11" s="8">
        <f>(ZScores!AO12+ZScores!AP12+ZScores!AQ12)/3</f>
        <v>-0.18336249975786215</v>
      </c>
    </row>
    <row r="12" spans="1:16" x14ac:dyDescent="0.3">
      <c r="A12" s="6" t="str">
        <f>RawData!A12</f>
        <v>Germany</v>
      </c>
      <c r="B12" s="8">
        <f>(ZScores!B13)/1</f>
        <v>-1.0738541875918217</v>
      </c>
      <c r="C12" s="8">
        <f>(ZScores!C13+ZScores!D13+ZScores!E13+ZScores!F13+ZScores!G13+ZScores!H13+ZScores!I13)/7</f>
        <v>0.21373108603322843</v>
      </c>
      <c r="D12" s="8">
        <f>(ZScores!J13+ZScores!K13+ZScores!L13+ZScores!M13+ZScores!N13+ZScores!O13)/6</f>
        <v>-0.15897627108027382</v>
      </c>
      <c r="E12" s="8">
        <f>(ZScores!P13+ZScores!Q13+ZScores!R13)/3</f>
        <v>0.26362851203865872</v>
      </c>
      <c r="F12" s="8">
        <f>(ZScores!S13+ZScores!T13)/2</f>
        <v>-1.2780605220473682</v>
      </c>
      <c r="G12" s="8">
        <f>(ZScores!U13+ZScores!V13)/2</f>
        <v>-0.3140934594509871</v>
      </c>
      <c r="H12" s="8">
        <f>(ZScores!W13)/1</f>
        <v>6.7847859864355736E-2</v>
      </c>
      <c r="I12" s="8">
        <f>(ZScores!X13+ZScores!Y13)/2</f>
        <v>0.13444668658404887</v>
      </c>
      <c r="J12" s="8">
        <f>(ZScores!Z13+ZScores!AA13)/2</f>
        <v>0.2459443746667791</v>
      </c>
      <c r="K12" s="8">
        <f>(ZScores!AB13+ZScores!AC13)/2</f>
        <v>-0.11380576816183255</v>
      </c>
      <c r="L12" s="8">
        <f>(ZScores!AD13+ZScores!AE13+ZScores!AF13+ZScores!AG13)/4</f>
        <v>0.49985696265368185</v>
      </c>
      <c r="M12" s="8">
        <f>(ZScores!AH13+ZScores!AI13+ZScores!AJ13)/3</f>
        <v>0.5192826871563524</v>
      </c>
      <c r="N12" s="8">
        <f>(ZScores!AK13+ZScores!AL13+ZScores!AM13)/3</f>
        <v>0.29394409266024235</v>
      </c>
      <c r="O12" s="8">
        <f>(ZScores!AN13)/1</f>
        <v>0.71753265353977802</v>
      </c>
      <c r="P12" s="8">
        <f>(ZScores!AO13+ZScores!AP13+ZScores!AQ13)/3</f>
        <v>-0.18336249975786215</v>
      </c>
    </row>
    <row r="13" spans="1:16" x14ac:dyDescent="0.3">
      <c r="A13" s="6" t="str">
        <f>RawData!A13</f>
        <v>Denmark</v>
      </c>
      <c r="B13" s="8">
        <f>(ZScores!B14)/1</f>
        <v>0.40304135053010626</v>
      </c>
      <c r="C13" s="8">
        <f>(ZScores!C14+ZScores!D14+ZScores!E14+ZScores!F14+ZScores!G14+ZScores!H14+ZScores!I14)/7</f>
        <v>-0.38091584498248426</v>
      </c>
      <c r="D13" s="8">
        <f>(ZScores!J14+ZScores!K14+ZScores!L14+ZScores!M14+ZScores!N14+ZScores!O14)/6</f>
        <v>0.22153391644716569</v>
      </c>
      <c r="E13" s="8">
        <f>(ZScores!P14+ZScores!Q14+ZScores!R14)/3</f>
        <v>-0.1264715506158611</v>
      </c>
      <c r="F13" s="8">
        <f>(ZScores!S14+ZScores!T14)/2</f>
        <v>0.32959579182366927</v>
      </c>
      <c r="G13" s="8">
        <f>(ZScores!U14+ZScores!V14)/2</f>
        <v>-1.5885378128713437</v>
      </c>
      <c r="H13" s="8">
        <f>(ZScores!W14)/1</f>
        <v>-1.0865784124545372</v>
      </c>
      <c r="I13" s="8">
        <f>(ZScores!X14+ZScores!Y14)/2</f>
        <v>0.78205125599701231</v>
      </c>
      <c r="J13" s="8">
        <f>(ZScores!Z14+ZScores!AA14)/2</f>
        <v>0.35627909090419141</v>
      </c>
      <c r="K13" s="8">
        <f>(ZScores!AB14+ZScores!AC14)/2</f>
        <v>-0.11380576816183255</v>
      </c>
      <c r="L13" s="8">
        <f>(ZScores!AD14+ZScores!AE14+ZScores!AF14+ZScores!AG14)/4</f>
        <v>0.49985696265368185</v>
      </c>
      <c r="M13" s="8">
        <f>(ZScores!AH14+ZScores!AI14+ZScores!AJ14)/3</f>
        <v>-3.4731258453406633E-2</v>
      </c>
      <c r="N13" s="8">
        <f>(ZScores!AK14+ZScores!AL14+ZScores!AM14)/3</f>
        <v>-0.57490345802750309</v>
      </c>
      <c r="O13" s="8">
        <f>(ZScores!AN14)/1</f>
        <v>4.1510153510565771E-2</v>
      </c>
      <c r="P13" s="8">
        <f>(ZScores!AO14+ZScores!AP14+ZScores!AQ14)/3</f>
        <v>-0.83402866345102866</v>
      </c>
    </row>
    <row r="14" spans="1:16" x14ac:dyDescent="0.3">
      <c r="A14" s="6" t="str">
        <f>RawData!A14</f>
        <v>Estonia</v>
      </c>
      <c r="B14" s="8">
        <f>(ZScores!B15)/1</f>
        <v>0.40304135053010626</v>
      </c>
      <c r="C14" s="8">
        <f>(ZScores!C15+ZScores!D15+ZScores!E15+ZScores!F15+ZScores!G15+ZScores!H15+ZScores!I15)/7</f>
        <v>2.1316685348925852</v>
      </c>
      <c r="D14" s="8">
        <f>(ZScores!J15+ZScores!K15+ZScores!L15+ZScores!M15+ZScores!N15+ZScores!O15)/6</f>
        <v>0.70154487803255083</v>
      </c>
      <c r="E14" s="8">
        <f>(ZScores!P15+ZScores!Q15+ZScores!R15)/3</f>
        <v>1.164484464912334</v>
      </c>
      <c r="F14" s="8">
        <f>(ZScores!S15+ZScores!T15)/2</f>
        <v>0.32959579182366927</v>
      </c>
      <c r="G14" s="8">
        <f>(ZScores!U15+ZScores!V15)/2</f>
        <v>1.0052427737130287</v>
      </c>
      <c r="H14" s="8">
        <f>(ZScores!W15)/1</f>
        <v>-0.89417403373472171</v>
      </c>
      <c r="I14" s="8">
        <f>(ZScores!X15+ZScores!Y15)/2</f>
        <v>0.4570135352767436</v>
      </c>
      <c r="J14" s="8">
        <f>(ZScores!Z15+ZScores!AA15)/2</f>
        <v>1.5242140058422506</v>
      </c>
      <c r="K14" s="8">
        <f>(ZScores!AB15+ZScores!AC15)/2</f>
        <v>0.94760959073522244</v>
      </c>
      <c r="L14" s="8">
        <f>(ZScores!AD15+ZScores!AE15+ZScores!AF15+ZScores!AG15)/4</f>
        <v>1.1763791660340783</v>
      </c>
      <c r="M14" s="8">
        <f>(ZScores!AH15+ZScores!AI15+ZScores!AJ15)/3</f>
        <v>-3.4731258453406633E-2</v>
      </c>
      <c r="N14" s="8">
        <f>(ZScores!AK15+ZScores!AL15+ZScores!AM15)/3</f>
        <v>1.3724606483871915</v>
      </c>
      <c r="O14" s="8">
        <f>(ZScores!AN15)/1</f>
        <v>-0.48428512428993259</v>
      </c>
      <c r="P14" s="8">
        <f>(ZScores!AO15+ZScores!AP15+ZScores!AQ15)/3</f>
        <v>0.56864169350622951</v>
      </c>
    </row>
    <row r="15" spans="1:16" x14ac:dyDescent="0.3">
      <c r="A15" s="6" t="str">
        <f>RawData!A15</f>
        <v>Spain</v>
      </c>
      <c r="B15" s="8">
        <f>(ZScores!B16)/1</f>
        <v>-0.14677654454289685</v>
      </c>
      <c r="C15" s="8">
        <f>(ZScores!C16+ZScores!D16+ZScores!E16+ZScores!F16+ZScores!G16+ZScores!H16+ZScores!I16)/7</f>
        <v>-0.44729010312587875</v>
      </c>
      <c r="D15" s="8">
        <f>(ZScores!J16+ZScores!K16+ZScores!L16+ZScores!M16+ZScores!N16+ZScores!O16)/6</f>
        <v>-0.59207709891241589</v>
      </c>
      <c r="E15" s="8">
        <f>(ZScores!P16+ZScores!Q16+ZScores!R16)/3</f>
        <v>1.733137598851168E-4</v>
      </c>
      <c r="F15" s="8">
        <f>(ZScores!S16+ZScores!T16)/2</f>
        <v>0.32959579182366927</v>
      </c>
      <c r="G15" s="8">
        <f>(ZScores!U16+ZScores!V16)/2</f>
        <v>-0.60976454944450986</v>
      </c>
      <c r="H15" s="8">
        <f>(ZScores!W16)/1</f>
        <v>-0.31696089757527524</v>
      </c>
      <c r="I15" s="8">
        <f>(ZScores!X16+ZScores!Y16)/2</f>
        <v>0.12853855592822988</v>
      </c>
      <c r="J15" s="8">
        <f>(ZScores!Z16+ZScores!AA16)/2</f>
        <v>-0.12304706434163204</v>
      </c>
      <c r="K15" s="8">
        <f>(ZScores!AB16+ZScores!AC16)/2</f>
        <v>-1.6433266984554729</v>
      </c>
      <c r="L15" s="8">
        <f>(ZScores!AD16+ZScores!AE16+ZScores!AF16+ZScores!AG16)/4</f>
        <v>-0.56504481059301748</v>
      </c>
      <c r="M15" s="8">
        <f>(ZScores!AH16+ZScores!AI16+ZScores!AJ16)/3</f>
        <v>-0.13855356755426776</v>
      </c>
      <c r="N15" s="8">
        <f>(ZScores!AK16+ZScores!AL16+ZScores!AM16)/3</f>
        <v>-0.2870610510107704</v>
      </c>
      <c r="O15" s="8">
        <f>(ZScores!AN16)/1</f>
        <v>0.71753265353977802</v>
      </c>
      <c r="P15" s="8">
        <f>(ZScores!AO16+ZScores!AP16+ZScores!AQ16)/3</f>
        <v>-0.18336249975786215</v>
      </c>
    </row>
    <row r="16" spans="1:16" x14ac:dyDescent="0.3">
      <c r="A16" s="6" t="str">
        <f>RawData!A16</f>
        <v>Finland</v>
      </c>
      <c r="B16" s="8">
        <f>(ZScores!B17)/1</f>
        <v>0.76958661391210814</v>
      </c>
      <c r="C16" s="8">
        <f>(ZScores!C17+ZScores!D17+ZScores!E17+ZScores!F17+ZScores!G17+ZScores!H17+ZScores!I17)/7</f>
        <v>-0.33924749691125139</v>
      </c>
      <c r="D16" s="8">
        <f>(ZScores!J17+ZScores!K17+ZScores!L17+ZScores!M17+ZScores!N17+ZScores!O17)/6</f>
        <v>0.60670747926793156</v>
      </c>
      <c r="E16" s="8">
        <f>(ZScores!P17+ZScores!Q17+ZScores!R17)/3</f>
        <v>-0.33824496810706872</v>
      </c>
      <c r="F16" s="8">
        <f>(ZScores!S17+ZScores!T17)/2</f>
        <v>0.32959579182366927</v>
      </c>
      <c r="G16" s="8">
        <f>(ZScores!U17+ZScores!V17)/2</f>
        <v>-0.71289920153592967</v>
      </c>
      <c r="H16" s="8">
        <f>(ZScores!W17)/1</f>
        <v>-1.1827806018144449</v>
      </c>
      <c r="I16" s="8">
        <f>(ZScores!X17+ZScores!Y17)/2</f>
        <v>0.34572496682809167</v>
      </c>
      <c r="J16" s="8">
        <f>(ZScores!Z17+ZScores!AA17)/2</f>
        <v>7.1982836998807337E-2</v>
      </c>
      <c r="K16" s="8">
        <f>(ZScores!AB17+ZScores!AC17)/2</f>
        <v>-0.11380576816183255</v>
      </c>
      <c r="L16" s="8">
        <f>(ZScores!AD17+ZScores!AE17+ZScores!AF17+ZScores!AG17)/4</f>
        <v>-4.8312033731591209E-3</v>
      </c>
      <c r="M16" s="8">
        <f>(ZScores!AH17+ZScores!AI17+ZScores!AJ17)/3</f>
        <v>-3.4731258453406633E-2</v>
      </c>
      <c r="N16" s="8">
        <f>(ZScores!AK17+ZScores!AL17+ZScores!AM17)/3</f>
        <v>0.36696955772902023</v>
      </c>
      <c r="O16" s="8">
        <f>(ZScores!AN17)/1</f>
        <v>4.1510153510565771E-2</v>
      </c>
      <c r="P16" s="8">
        <f>(ZScores!AO17+ZScores!AP17+ZScores!AQ17)/3</f>
        <v>-0.50869558160444539</v>
      </c>
    </row>
    <row r="17" spans="1:16" x14ac:dyDescent="0.3">
      <c r="A17" s="6" t="str">
        <f>RawData!A17</f>
        <v>France</v>
      </c>
      <c r="B17" s="8">
        <f>(ZScores!B18)/1</f>
        <v>-2.1866009352637388</v>
      </c>
      <c r="C17" s="8">
        <f>(ZScores!C18+ZScores!D18+ZScores!E18+ZScores!F18+ZScores!G18+ZScores!H18+ZScores!I18)/7</f>
        <v>5.0697568203384238E-2</v>
      </c>
      <c r="D17" s="8">
        <f>(ZScores!J18+ZScores!K18+ZScores!L18+ZScores!M18+ZScores!N18+ZScores!O18)/6</f>
        <v>-1.5967451665967838</v>
      </c>
      <c r="E17" s="8">
        <f>(ZScores!P18+ZScores!Q18+ZScores!R18)/3</f>
        <v>-0.61842385188564342</v>
      </c>
      <c r="F17" s="8">
        <f>(ZScores!S18+ZScores!T18)/2</f>
        <v>0.32959579182366927</v>
      </c>
      <c r="G17" s="8">
        <f>(ZScores!U18+ZScores!V18)/2</f>
        <v>-0.93602230392012142</v>
      </c>
      <c r="H17" s="8">
        <f>(ZScores!W18)/1</f>
        <v>-0.12455651885545976</v>
      </c>
      <c r="I17" s="8">
        <f>(ZScores!X18+ZScores!Y18)/2</f>
        <v>-0.98035058484053594</v>
      </c>
      <c r="J17" s="8">
        <f>(ZScores!Z18+ZScores!AA18)/2</f>
        <v>-0.56109156823867457</v>
      </c>
      <c r="K17" s="8">
        <f>(ZScores!AB18+ZScores!AC18)/2</f>
        <v>-0.8785662333086528</v>
      </c>
      <c r="L17" s="8">
        <f>(ZScores!AD18+ZScores!AE18+ZScores!AF18+ZScores!AG18)/4</f>
        <v>-0.49889316529921379</v>
      </c>
      <c r="M17" s="8">
        <f>(ZScores!AH18+ZScores!AI18+ZScores!AJ18)/3</f>
        <v>-0.19781092352858878</v>
      </c>
      <c r="N17" s="8">
        <f>(ZScores!AK18+ZScores!AL18+ZScores!AM18)/3</f>
        <v>3.1564588093844582E-2</v>
      </c>
      <c r="O17" s="8">
        <f>(ZScores!AN18)/1</f>
        <v>1.7691232091407747</v>
      </c>
      <c r="P17" s="8">
        <f>(ZScores!AO18+ZScores!AP18+ZScores!AQ18)/3</f>
        <v>-0.83402866345102866</v>
      </c>
    </row>
    <row r="18" spans="1:16" x14ac:dyDescent="0.3">
      <c r="A18" s="6" t="str">
        <f>RawData!A18</f>
        <v>United Kingdom</v>
      </c>
      <c r="B18" s="8">
        <f>(ZScores!B19)/1</f>
        <v>-0.14677654454289685</v>
      </c>
      <c r="C18" s="8">
        <f>(ZScores!C19+ZScores!D19+ZScores!E19+ZScores!F19+ZScores!G19+ZScores!H19+ZScores!I19)/7</f>
        <v>-9.5628918189599357E-2</v>
      </c>
      <c r="D18" s="8">
        <f>(ZScores!J19+ZScores!K19+ZScores!L19+ZScores!M19+ZScores!N19+ZScores!O19)/6</f>
        <v>-0.43523063172477644</v>
      </c>
      <c r="E18" s="8">
        <f>(ZScores!P19+ZScores!Q19+ZScores!R19)/3</f>
        <v>-0.16319134387323886</v>
      </c>
      <c r="F18" s="8">
        <f>(ZScores!S19+ZScores!T19)/2</f>
        <v>0.32959579182366927</v>
      </c>
      <c r="G18" s="8">
        <f>(ZScores!U19+ZScores!V19)/2</f>
        <v>-0.79193470627959084</v>
      </c>
      <c r="H18" s="8">
        <f>(ZScores!W19)/1</f>
        <v>-0.12455651885545976</v>
      </c>
      <c r="I18" s="8">
        <f>(ZScores!X19+ZScores!Y19)/2</f>
        <v>-1.1192691967315489</v>
      </c>
      <c r="J18" s="8">
        <f>(ZScores!Z19+ZScores!AA19)/2</f>
        <v>-1.8462741491160057</v>
      </c>
      <c r="K18" s="8">
        <f>(ZScores!AB19+ZScores!AC19)/2</f>
        <v>-0.11380576816183255</v>
      </c>
      <c r="L18" s="8">
        <f>(ZScores!AD19+ZScores!AE19+ZScores!AF19+ZScores!AG19)/4</f>
        <v>-0.49889316529921379</v>
      </c>
      <c r="M18" s="8">
        <f>(ZScores!AH19+ZScores!AI19+ZScores!AJ19)/3</f>
        <v>0.62310499625721361</v>
      </c>
      <c r="N18" s="8">
        <f>(ZScores!AK19+ZScores!AL19+ZScores!AM19)/3</f>
        <v>0.45417690395143867</v>
      </c>
      <c r="O18" s="8">
        <f>(ZScores!AN19)/1</f>
        <v>2.1071344591553807</v>
      </c>
      <c r="P18" s="8">
        <f>(ZScores!AO19+ZScores!AP19+ZScores!AQ19)/3</f>
        <v>-0.50869558160444539</v>
      </c>
    </row>
    <row r="19" spans="1:16" x14ac:dyDescent="0.3">
      <c r="A19" s="6" t="str">
        <f>RawData!A19</f>
        <v>Greece</v>
      </c>
      <c r="B19" s="8">
        <f>(ZScores!B20)/1</f>
        <v>0.40304135053010626</v>
      </c>
      <c r="C19" s="8">
        <f>(ZScores!C20+ZScores!D20+ZScores!E20+ZScores!F20+ZScores!G20+ZScores!H20+ZScores!I20)/7</f>
        <v>-0.52634216600471451</v>
      </c>
      <c r="D19" s="8">
        <f>(ZScores!J20+ZScores!K20+ZScores!L20+ZScores!M20+ZScores!N20+ZScores!O20)/6</f>
        <v>0.42432786625904834</v>
      </c>
      <c r="E19" s="8">
        <f>(ZScores!P20+ZScores!Q20+ZScores!R20)/3</f>
        <v>-0.1447249809044078</v>
      </c>
      <c r="F19" s="8">
        <f>(ZScores!S20+ZScores!T20)/2</f>
        <v>0.32959579182366927</v>
      </c>
      <c r="G19" s="8">
        <f>(ZScores!U20+ZScores!V20)/2</f>
        <v>1.6184204695302302</v>
      </c>
      <c r="H19" s="8">
        <f>(ZScores!W20)/1</f>
        <v>-0.89417403373472171</v>
      </c>
      <c r="I19" s="8">
        <f>(ZScores!X20+ZScores!Y20)/2</f>
        <v>-0.11788013319770391</v>
      </c>
      <c r="J19" s="8">
        <f>(ZScores!Z20+ZScores!AA20)/2</f>
        <v>-0.58726490023700961</v>
      </c>
      <c r="K19" s="8">
        <f>(ZScores!AB20+ZScores!AC20)/2</f>
        <v>-0.11380576816183255</v>
      </c>
      <c r="L19" s="8">
        <f>(ZScores!AD20+ZScores!AE20+ZScores!AF20+ZScores!AG20)/4</f>
        <v>-0.55441860649223118</v>
      </c>
      <c r="M19" s="8">
        <f>(ZScores!AH20+ZScores!AI20+ZScores!AJ20)/3</f>
        <v>-3.4731258453406633E-2</v>
      </c>
      <c r="N19" s="8">
        <f>(ZScores!AK20+ZScores!AL20+ZScores!AM20)/3</f>
        <v>0.43237506739583403</v>
      </c>
      <c r="O19" s="8">
        <f>(ZScores!AN20)/1</f>
        <v>-0.67206915207582485</v>
      </c>
      <c r="P19" s="8">
        <f>(ZScores!AO20+ZScores!AP20+ZScores!AQ20)/3</f>
        <v>-0.18336249975786215</v>
      </c>
    </row>
    <row r="20" spans="1:16" x14ac:dyDescent="0.3">
      <c r="A20" s="6" t="str">
        <f>RawData!A20</f>
        <v>Hungary</v>
      </c>
      <c r="B20" s="8">
        <f>(ZScores!B21)/1</f>
        <v>2.7855855625131198</v>
      </c>
      <c r="C20" s="8">
        <f>(ZScores!C21+ZScores!D21+ZScores!E21+ZScores!F21+ZScores!G21+ZScores!H21+ZScores!I21)/7</f>
        <v>-0.54575339692140046</v>
      </c>
      <c r="D20" s="8">
        <f>(ZScores!J21+ZScores!K21+ZScores!L21+ZScores!M21+ZScores!N21+ZScores!O21)/6</f>
        <v>-0.20393933861536748</v>
      </c>
      <c r="E20" s="8">
        <f>(ZScores!P21+ZScores!Q21+ZScores!R21)/3</f>
        <v>1.0105652672874528</v>
      </c>
      <c r="F20" s="8">
        <f>(ZScores!S21+ZScores!T21)/2</f>
        <v>0.32959579182366927</v>
      </c>
      <c r="G20" s="8">
        <f>(ZScores!U21+ZScores!V21)/2</f>
        <v>0.61370202983903244</v>
      </c>
      <c r="H20" s="8">
        <f>(ZScores!W21)/1</f>
        <v>-1.4713871698941683</v>
      </c>
      <c r="I20" s="8">
        <f>(ZScores!X21+ZScores!Y21)/2</f>
        <v>-0.40678539939195174</v>
      </c>
      <c r="J20" s="8">
        <f>(ZScores!Z21+ZScores!AA21)/2</f>
        <v>0.45391388502006991</v>
      </c>
      <c r="K20" s="8">
        <f>(ZScores!AB21+ZScores!AC21)/2</f>
        <v>-0.11380576816183255</v>
      </c>
      <c r="L20" s="8">
        <f>(ZScores!AD21+ZScores!AE21+ZScores!AF21+ZScores!AG21)/4</f>
        <v>-0.49889316529921379</v>
      </c>
      <c r="M20" s="8">
        <f>(ZScores!AH21+ZScores!AI21+ZScores!AJ21)/3</f>
        <v>0.62310499625721361</v>
      </c>
      <c r="N20" s="8">
        <f>(ZScores!AK21+ZScores!AL21+ZScores!AM21)/3</f>
        <v>1.7085894362697234</v>
      </c>
      <c r="O20" s="8">
        <f>(ZScores!AN21)/1</f>
        <v>0.26685098685363651</v>
      </c>
      <c r="P20" s="8">
        <f>(ZScores!AO21+ZScores!AP21+ZScores!AQ21)/3</f>
        <v>-0.18336249975786215</v>
      </c>
    </row>
    <row r="21" spans="1:16" x14ac:dyDescent="0.3">
      <c r="A21" s="6" t="str">
        <f>RawData!A21</f>
        <v>Ireland</v>
      </c>
      <c r="B21" s="8">
        <f>(ZScores!B22)/1</f>
        <v>2.1441313515946163</v>
      </c>
      <c r="C21" s="8">
        <f>(ZScores!C22+ZScores!D22+ZScores!E22+ZScores!F22+ZScores!G22+ZScores!H22+ZScores!I22)/7</f>
        <v>-0.36965230127813314</v>
      </c>
      <c r="D21" s="8">
        <f>(ZScores!J22+ZScores!K22+ZScores!L22+ZScores!M22+ZScores!N22+ZScores!O22)/6</f>
        <v>-8.2602153933059239E-2</v>
      </c>
      <c r="E21" s="8">
        <f>(ZScores!P22+ZScores!Q22+ZScores!R22)/3</f>
        <v>-0.41318547505323355</v>
      </c>
      <c r="F21" s="8">
        <f>(ZScores!S22+ZScores!T22)/2</f>
        <v>0.32959579182366927</v>
      </c>
      <c r="G21" s="8">
        <f>(ZScores!U22+ZScores!V22)/2</f>
        <v>-1.6419511678336589</v>
      </c>
      <c r="H21" s="8">
        <f>(ZScores!W22)/1</f>
        <v>-0.70176965501490629</v>
      </c>
      <c r="I21" s="8">
        <f>(ZScores!X22+ZScores!Y22)/2</f>
        <v>-0.90333032415986037</v>
      </c>
      <c r="J21" s="8">
        <f>(ZScores!Z22+ZScores!AA22)/2</f>
        <v>0.18075914521808811</v>
      </c>
      <c r="K21" s="8">
        <f>(ZScores!AB22+ZScores!AC22)/2</f>
        <v>-0.11380576816183255</v>
      </c>
      <c r="L21" s="8">
        <f>(ZScores!AD22+ZScores!AE22+ZScores!AF22+ZScores!AG22)/4</f>
        <v>-4.8312033731591209E-3</v>
      </c>
      <c r="M21" s="8">
        <f>(ZScores!AH22+ZScores!AI22+ZScores!AJ22)/3</f>
        <v>-3.4731258453406633E-2</v>
      </c>
      <c r="N21" s="8">
        <f>(ZScores!AK22+ZScores!AL22+ZScores!AM22)/3</f>
        <v>-0.38252597451811066</v>
      </c>
      <c r="O21" s="8">
        <f>(ZScores!AN22)/1</f>
        <v>-7.11602631609696E-2</v>
      </c>
      <c r="P21" s="8">
        <f>(ZScores!AO22+ZScores!AP22+ZScores!AQ22)/3</f>
        <v>-0.18336249975786215</v>
      </c>
    </row>
    <row r="22" spans="1:16" x14ac:dyDescent="0.3">
      <c r="A22" s="6" t="str">
        <f>RawData!A22</f>
        <v>Israel</v>
      </c>
      <c r="B22" s="8">
        <f>(ZScores!B23)/1</f>
        <v>0.21976871883910504</v>
      </c>
      <c r="C22" s="8">
        <f>(ZScores!C23+ZScores!D23+ZScores!E23+ZScores!F23+ZScores!G23+ZScores!H23+ZScores!I23)/7</f>
        <v>0.18319557827184099</v>
      </c>
      <c r="D22" s="8">
        <f>(ZScores!J23+ZScores!K23+ZScores!L23+ZScores!M23+ZScores!N23+ZScores!O23)/6</f>
        <v>0.21589885576440926</v>
      </c>
      <c r="E22" s="8">
        <f>(ZScores!P23+ZScores!Q23+ZScores!R23)/3</f>
        <v>-0.74514715633822204</v>
      </c>
      <c r="F22" s="8">
        <f>(ZScores!S23+ZScores!T23)/2</f>
        <v>0.32959579182366927</v>
      </c>
      <c r="G22" s="8">
        <f>(ZScores!U23+ZScores!V23)/2</f>
        <v>-0.82851268903685438</v>
      </c>
      <c r="H22" s="8">
        <f>(ZScores!W23)/1</f>
        <v>0.26025223858417124</v>
      </c>
      <c r="I22" s="8">
        <f>(ZScores!X23+ZScores!Y23)/2</f>
        <v>0.39806913544303435</v>
      </c>
      <c r="J22" s="8">
        <f>(ZScores!Z23+ZScores!AA23)/2</f>
        <v>0.14277153257677477</v>
      </c>
      <c r="K22" s="8">
        <f>(ZScores!AB23+ZScores!AC23)/2</f>
        <v>0.94760959073522244</v>
      </c>
      <c r="L22" s="8">
        <f>(ZScores!AD23+ZScores!AE23+ZScores!AF23+ZScores!AG23)/4</f>
        <v>0.49985696265368185</v>
      </c>
      <c r="M22" s="8">
        <f>(ZScores!AH23+ZScores!AI23+ZScores!AJ23)/3</f>
        <v>0.62310499625721361</v>
      </c>
      <c r="N22" s="8">
        <f>(ZScores!AK23+ZScores!AL23+ZScores!AM23)/3</f>
        <v>-0.73802843005976315</v>
      </c>
      <c r="O22" s="8">
        <f>(ZScores!AN23)/1</f>
        <v>-0.59695554096146797</v>
      </c>
      <c r="P22" s="8">
        <f>(ZScores!AO23+ZScores!AP23+ZScores!AQ23)/3</f>
        <v>1.93035741272483</v>
      </c>
    </row>
    <row r="23" spans="1:16" x14ac:dyDescent="0.3">
      <c r="A23" s="6" t="str">
        <f>RawData!A23</f>
        <v>Iceland</v>
      </c>
      <c r="B23" s="8">
        <f>(ZScores!B24)/1</f>
        <v>0.76958661391210814</v>
      </c>
      <c r="C23" s="8">
        <f>(ZScores!C24+ZScores!D24+ZScores!E24+ZScores!F24+ZScores!G24+ZScores!H24+ZScores!I24)/7</f>
        <v>-0.142577161138908</v>
      </c>
      <c r="D23" s="8">
        <f>(ZScores!J24+ZScores!K24+ZScores!L24+ZScores!M24+ZScores!N24+ZScores!O24)/6</f>
        <v>-0.29312390900910962</v>
      </c>
      <c r="E23" s="8">
        <f>(ZScores!P24+ZScores!Q24+ZScores!R24)/3</f>
        <v>5.6889914523469511E-2</v>
      </c>
      <c r="F23" s="8">
        <f>(ZScores!S24+ZScores!T24)/2</f>
        <v>-0.45253597490619624</v>
      </c>
      <c r="G23" s="8">
        <f>(ZScores!U24+ZScores!V24)/2</f>
        <v>4.2750959506712621E-2</v>
      </c>
      <c r="H23" s="8">
        <f>(ZScores!W24)/1</f>
        <v>-0.89417403373472171</v>
      </c>
      <c r="I23" s="8">
        <f>(ZScores!X24+ZScores!Y24)/2</f>
        <v>0.31816667492896378</v>
      </c>
      <c r="J23" s="8">
        <f>(ZScores!Z24+ZScores!AA24)/2</f>
        <v>-0.72339905375801528</v>
      </c>
      <c r="K23" s="8">
        <f>(ZScores!AB24+ZScores!AC24)/2</f>
        <v>-0.11380576816183255</v>
      </c>
      <c r="L23" s="8">
        <f>(ZScores!AD24+ZScores!AE24+ZScores!AF24+ZScores!AG24)/4</f>
        <v>5.7950007276271753E-3</v>
      </c>
      <c r="M23" s="8">
        <f>(ZScores!AH24+ZScores!AI24+ZScores!AJ24)/3</f>
        <v>0.62310499625721361</v>
      </c>
      <c r="N23" s="8">
        <f>(ZScores!AK24+ZScores!AL24+ZScores!AM24)/3</f>
        <v>1.7676583797087624E-2</v>
      </c>
      <c r="O23" s="8">
        <f>(ZScores!AN24)/1</f>
        <v>-1.0851940132047879</v>
      </c>
      <c r="P23" s="8">
        <f>(ZScores!AO24+ZScores!AP24+ZScores!AQ24)/3</f>
        <v>-8.2024470186937037E-2</v>
      </c>
    </row>
    <row r="24" spans="1:16" x14ac:dyDescent="0.3">
      <c r="A24" s="6" t="str">
        <f>RawData!A24</f>
        <v>Italy</v>
      </c>
      <c r="B24" s="8">
        <f>(ZScores!B25)/1</f>
        <v>-0.66177263959460997</v>
      </c>
      <c r="C24" s="8">
        <f>(ZScores!C25+ZScores!D25+ZScores!E25+ZScores!F25+ZScores!G25+ZScores!H25+ZScores!I25)/7</f>
        <v>0.43940934085935879</v>
      </c>
      <c r="D24" s="8">
        <f>(ZScores!J25+ZScores!K25+ZScores!L25+ZScores!M25+ZScores!N25+ZScores!O25)/6</f>
        <v>-0.4232258530806477</v>
      </c>
      <c r="E24" s="8">
        <f>(ZScores!P25+ZScores!Q25+ZScores!R25)/3</f>
        <v>-0.13053699768022306</v>
      </c>
      <c r="F24" s="8">
        <f>(ZScores!S25+ZScores!T25)/2</f>
        <v>0.32959579182366927</v>
      </c>
      <c r="G24" s="8">
        <f>(ZScores!U25+ZScores!V25)/2</f>
        <v>-0.28350679496889875</v>
      </c>
      <c r="H24" s="8">
        <f>(ZScores!W25)/1</f>
        <v>-0.50936527629509076</v>
      </c>
      <c r="I24" s="8">
        <f>(ZScores!X25+ZScores!Y25)/2</f>
        <v>-1.3492944136480642</v>
      </c>
      <c r="J24" s="8">
        <f>(ZScores!Z25+ZScores!AA25)/2</f>
        <v>-1.304570634706905</v>
      </c>
      <c r="K24" s="8">
        <f>(ZScores!AB25+ZScores!AC25)/2</f>
        <v>-0.8785662333086528</v>
      </c>
      <c r="L24" s="8">
        <f>(ZScores!AD25+ZScores!AE25+ZScores!AF25+ZScores!AG25)/4</f>
        <v>-0.56504481059301748</v>
      </c>
      <c r="M24" s="8">
        <f>(ZScores!AH25+ZScores!AI25+ZScores!AJ25)/3</f>
        <v>-0.13855356755426776</v>
      </c>
      <c r="N24" s="8">
        <f>(ZScores!AK25+ZScores!AL25+ZScores!AM25)/3</f>
        <v>-0.67467277359349198</v>
      </c>
      <c r="O24" s="8">
        <f>(ZScores!AN25)/1</f>
        <v>1.0179870979972057</v>
      </c>
      <c r="P24" s="8">
        <f>(ZScores!AO25+ZScores!AP25+ZScores!AQ25)/3</f>
        <v>-0.50869558160444539</v>
      </c>
    </row>
    <row r="25" spans="1:16" x14ac:dyDescent="0.3">
      <c r="A25" s="6" t="str">
        <f>RawData!A25</f>
        <v>Japan</v>
      </c>
      <c r="B25" s="8">
        <f>(ZScores!B26)/1</f>
        <v>-1.0154888187582418</v>
      </c>
      <c r="C25" s="8">
        <f>(ZScores!C26+ZScores!D26+ZScores!E26+ZScores!F26+ZScores!G26+ZScores!H26+ZScores!I26)/7</f>
        <v>-0.41851682391675266</v>
      </c>
      <c r="D25" s="8">
        <f>(ZScores!J26+ZScores!K26+ZScores!L26+ZScores!M26+ZScores!N26+ZScores!O26)/6</f>
        <v>-0.25568762539650913</v>
      </c>
      <c r="E25" s="8">
        <f>(ZScores!P26+ZScores!Q26+ZScores!R26)/3</f>
        <v>-0.24649335395965941</v>
      </c>
      <c r="F25" s="8">
        <f>(ZScores!S26+ZScores!T26)/2</f>
        <v>-1.2780605220473682</v>
      </c>
      <c r="G25" s="8">
        <f>(ZScores!U26+ZScores!V26)/2</f>
        <v>0.18018703857956392</v>
      </c>
      <c r="H25" s="8">
        <f>(ZScores!W26)/1</f>
        <v>1.7994872683426952</v>
      </c>
      <c r="I25" s="8">
        <f>(ZScores!X26+ZScores!Y26)/2</f>
        <v>0.12163029120836466</v>
      </c>
      <c r="J25" s="8">
        <f>(ZScores!Z26+ZScores!AA26)/2</f>
        <v>0.44910266802855336</v>
      </c>
      <c r="K25" s="8">
        <f>(ZScores!AB26+ZScores!AC26)/2</f>
        <v>-0.11380576816183255</v>
      </c>
      <c r="L25" s="8">
        <f>(ZScores!AD26+ZScores!AE26+ZScores!AF26+ZScores!AG26)/4</f>
        <v>-0.55441860649223118</v>
      </c>
      <c r="M25" s="8">
        <f>(ZScores!AH26+ZScores!AI26+ZScores!AJ26)/3</f>
        <v>-0.28492428678086196</v>
      </c>
      <c r="N25" s="8">
        <f>(ZScores!AK26+ZScores!AL26+ZScores!AM26)/3</f>
        <v>-0.25558467036117305</v>
      </c>
      <c r="O25" s="8">
        <f>(ZScores!AN26)/1</f>
        <v>0.15418057018210113</v>
      </c>
      <c r="P25" s="8">
        <f>(ZScores!AO26+ZScores!AP26+ZScores!AQ26)/3</f>
        <v>-0.13269348497239961</v>
      </c>
    </row>
    <row r="26" spans="1:16" x14ac:dyDescent="0.3">
      <c r="A26" s="6" t="str">
        <f>RawData!A26</f>
        <v>Korea</v>
      </c>
      <c r="B26" s="8">
        <f>(ZScores!B27)/1</f>
        <v>-0.40335822891029854</v>
      </c>
      <c r="C26" s="8">
        <f>(ZScores!C27+ZScores!D27+ZScores!E27+ZScores!F27+ZScores!G27+ZScores!H27+ZScores!I27)/7</f>
        <v>8.2588249173669442E-2</v>
      </c>
      <c r="D26" s="8">
        <f>(ZScores!J27+ZScores!K27+ZScores!L27+ZScores!M27+ZScores!N27+ZScores!O27)/6</f>
        <v>-0.11672479285356695</v>
      </c>
      <c r="E26" s="8">
        <f>(ZScores!P27+ZScores!Q27+ZScores!R27)/3</f>
        <v>-0.70855867543169404</v>
      </c>
      <c r="F26" s="8">
        <f>(ZScores!S27+ZScores!T27)/2</f>
        <v>-1.2780605220473682</v>
      </c>
      <c r="G26" s="8">
        <f>(ZScores!U27+ZScores!V27)/2</f>
        <v>-0.10750235185336854</v>
      </c>
      <c r="H26" s="8">
        <f>(ZScores!W27)/1</f>
        <v>1.7994872683426952</v>
      </c>
      <c r="I26" s="8">
        <f>(ZScores!X27+ZScores!Y27)/2</f>
        <v>0.35880102464569757</v>
      </c>
      <c r="J26" s="8">
        <f>(ZScores!Z27+ZScores!AA27)/2</f>
        <v>-0.71518079370273768</v>
      </c>
      <c r="K26" s="8">
        <f>(ZScores!AB27+ZScores!AC27)/2</f>
        <v>-0.11380576816183255</v>
      </c>
      <c r="L26" s="8">
        <f>(ZScores!AD27+ZScores!AE27+ZScores!AF27+ZScores!AG27)/4</f>
        <v>-0.56504481059301748</v>
      </c>
      <c r="M26" s="8">
        <f>(ZScores!AH27+ZScores!AI27+ZScores!AJ27)/3</f>
        <v>-0.94276054149148214</v>
      </c>
      <c r="N26" s="8">
        <f>(ZScores!AK27+ZScores!AL27+ZScores!AM27)/3</f>
        <v>-0.40756288233359311</v>
      </c>
      <c r="O26" s="8">
        <f>(ZScores!AN27)/1</f>
        <v>0.75508945909695646</v>
      </c>
      <c r="P26" s="8">
        <f>(ZScores!AO27+ZScores!AP27+ZScores!AQ27)/3</f>
        <v>-0.13269348497239961</v>
      </c>
    </row>
    <row r="27" spans="1:16" x14ac:dyDescent="0.3">
      <c r="A27" s="6" t="str">
        <f>RawData!A27</f>
        <v>Lithuania</v>
      </c>
      <c r="B27" s="8">
        <f>(ZScores!B28)/1</f>
        <v>1.5026771406761124</v>
      </c>
      <c r="C27" s="8">
        <f>(ZScores!C28+ZScores!D28+ZScores!E28+ZScores!F28+ZScores!G28+ZScores!H28+ZScores!I28)/7</f>
        <v>0.65116030566128802</v>
      </c>
      <c r="D27" s="8">
        <f>(ZScores!J28+ZScores!K28+ZScores!L28+ZScores!M28+ZScores!N28+ZScores!O28)/6</f>
        <v>-9.7192522973769915E-2</v>
      </c>
      <c r="E27" s="8">
        <f>(ZScores!P28+ZScores!Q28+ZScores!R28)/3</f>
        <v>0.34032372500539854</v>
      </c>
      <c r="F27" s="8">
        <f>(ZScores!S28+ZScores!T28)/2</f>
        <v>0.32959579182366927</v>
      </c>
      <c r="G27" s="8">
        <f>(ZScores!U28+ZScores!V28)/2</f>
        <v>0.42462797633686283</v>
      </c>
      <c r="H27" s="8">
        <f>(ZScores!W28)/1</f>
        <v>-0.31696089757527524</v>
      </c>
      <c r="I27" s="8">
        <f>(ZScores!X28+ZScores!Y28)/2</f>
        <v>-0.26319918223682598</v>
      </c>
      <c r="J27" s="8">
        <f>(ZScores!Z28+ZScores!AA28)/2</f>
        <v>0.19186415462990339</v>
      </c>
      <c r="K27" s="8">
        <f>(ZScores!AB28+ZScores!AC28)/2</f>
        <v>-0.11380576816183255</v>
      </c>
      <c r="L27" s="8">
        <f>(ZScores!AD28+ZScores!AE28+ZScores!AF28+ZScores!AG28)/4</f>
        <v>1.1763791660340783</v>
      </c>
      <c r="M27" s="8">
        <f>(ZScores!AH28+ZScores!AI28+ZScores!AJ28)/3</f>
        <v>-3.4731258453406633E-2</v>
      </c>
      <c r="N27" s="8">
        <f>(ZScores!AK28+ZScores!AL28+ZScores!AM28)/3</f>
        <v>0.54589332789006939</v>
      </c>
      <c r="O27" s="8">
        <f>(ZScores!AN28)/1</f>
        <v>-0.67206915207582485</v>
      </c>
      <c r="P27" s="8">
        <f>(ZScores!AO28+ZScores!AP28+ZScores!AQ28)/3</f>
        <v>0.56864169350622951</v>
      </c>
    </row>
    <row r="28" spans="1:16" x14ac:dyDescent="0.3">
      <c r="A28" s="6" t="str">
        <f>RawData!A28</f>
        <v>Luxembourg</v>
      </c>
      <c r="B28" s="8">
        <f>(ZScores!B29)/1</f>
        <v>6.032152926793441E-2</v>
      </c>
      <c r="C28" s="8">
        <f>(ZScores!C29+ZScores!D29+ZScores!E29+ZScores!F29+ZScores!G29+ZScores!H29+ZScores!I29)/7</f>
        <v>6.8470112183526485E-2</v>
      </c>
      <c r="D28" s="8">
        <f>(ZScores!J29+ZScores!K29+ZScores!L29+ZScores!M29+ZScores!N29+ZScores!O29)/6</f>
        <v>-0.22113182505635884</v>
      </c>
      <c r="E28" s="8">
        <f>(ZScores!P29+ZScores!Q29+ZScores!R29)/3</f>
        <v>-8.6984650723931536E-2</v>
      </c>
      <c r="F28" s="8">
        <f>(ZScores!S29+ZScores!T29)/2</f>
        <v>-1.2780605220473682</v>
      </c>
      <c r="G28" s="8">
        <f>(ZScores!U29+ZScores!V29)/2</f>
        <v>0.91842642283472753</v>
      </c>
      <c r="H28" s="8">
        <f>(ZScores!W29)/1</f>
        <v>0.45265661730398671</v>
      </c>
      <c r="I28" s="8">
        <f>(ZScores!X29+ZScores!Y29)/2</f>
        <v>1.0450877277589399</v>
      </c>
      <c r="J28" s="8">
        <f>(ZScores!Z29+ZScores!AA29)/2</f>
        <v>0.4066477466337004</v>
      </c>
      <c r="K28" s="8">
        <f>(ZScores!AB29+ZScores!AC29)/2</f>
        <v>-0.11380576816183255</v>
      </c>
      <c r="L28" s="8">
        <f>(ZScores!AD29+ZScores!AE29+ZScores!AF29+ZScores!AG29)/4</f>
        <v>5.7950007276271753E-3</v>
      </c>
      <c r="M28" s="8">
        <f>(ZScores!AH29+ZScores!AI29+ZScores!AJ29)/3</f>
        <v>0.62310499625721361</v>
      </c>
      <c r="N28" s="8">
        <f>(ZScores!AK29+ZScores!AL29+ZScores!AM29)/3</f>
        <v>1.2065677091879936</v>
      </c>
      <c r="O28" s="8">
        <f>(ZScores!AN29)/1</f>
        <v>0.41707820908235033</v>
      </c>
      <c r="P28" s="8">
        <f>(ZScores!AO29+ZScores!AP29+ZScores!AQ29)/3</f>
        <v>-0.18336249975786215</v>
      </c>
    </row>
    <row r="29" spans="1:16" x14ac:dyDescent="0.3">
      <c r="A29" s="6" t="str">
        <f>RawData!A29</f>
        <v>Latvia</v>
      </c>
      <c r="B29" s="8">
        <f>(ZScores!B30)/1</f>
        <v>0.76958661391210814</v>
      </c>
      <c r="C29" s="8">
        <f>(ZScores!C30+ZScores!D30+ZScores!E30+ZScores!F30+ZScores!G30+ZScores!H30+ZScores!I30)/7</f>
        <v>2.1316685348925852</v>
      </c>
      <c r="D29" s="8">
        <f>(ZScores!J30+ZScores!K30+ZScores!L30+ZScores!M30+ZScores!N30+ZScores!O30)/6</f>
        <v>0.87910025694062188</v>
      </c>
      <c r="E29" s="8">
        <f>(ZScores!P30+ZScores!Q30+ZScores!R30)/3</f>
        <v>0.35215864834134586</v>
      </c>
      <c r="F29" s="8">
        <f>(ZScores!S30+ZScores!T30)/2</f>
        <v>0.32959579182366927</v>
      </c>
      <c r="G29" s="8">
        <f>(ZScores!U30+ZScores!V30)/2</f>
        <v>0.75944650416020854</v>
      </c>
      <c r="H29" s="8">
        <f>(ZScores!W30)/1</f>
        <v>-0.31696089757527524</v>
      </c>
      <c r="I29" s="8">
        <f>(ZScores!X30+ZScores!Y30)/2</f>
        <v>-7.9339682716122184E-2</v>
      </c>
      <c r="J29" s="8">
        <f>(ZScores!Z30+ZScores!AA30)/2</f>
        <v>5.6230104945371936E-2</v>
      </c>
      <c r="K29" s="8">
        <f>(ZScores!AB30+ZScores!AC30)/2</f>
        <v>0.94760959073522244</v>
      </c>
      <c r="L29" s="8">
        <f>(ZScores!AD30+ZScores!AE30+ZScores!AF30+ZScores!AG30)/4</f>
        <v>0.49985696265368185</v>
      </c>
      <c r="M29" s="8">
        <f>(ZScores!AH30+ZScores!AI30+ZScores!AJ30)/3</f>
        <v>-3.4731258453406633E-2</v>
      </c>
      <c r="N29" s="8">
        <f>(ZScores!AK30+ZScores!AL30+ZScores!AM30)/3</f>
        <v>1.7085894362697234</v>
      </c>
      <c r="O29" s="8">
        <f>(ZScores!AN30)/1</f>
        <v>-0.48428512428993259</v>
      </c>
      <c r="P29" s="8">
        <f>(ZScores!AO30+ZScores!AP30+ZScores!AQ30)/3</f>
        <v>0.56864169350622951</v>
      </c>
    </row>
    <row r="30" spans="1:16" x14ac:dyDescent="0.3">
      <c r="A30" s="6" t="str">
        <f>RawData!A30</f>
        <v>Mexico</v>
      </c>
      <c r="B30" s="8">
        <f>(ZScores!B31)/1</f>
        <v>-1.0631397029979017</v>
      </c>
      <c r="C30" s="8">
        <f>(ZScores!C31+ZScores!D31+ZScores!E31+ZScores!F31+ZScores!G31+ZScores!H31+ZScores!I31)/7</f>
        <v>-0.24952636468920492</v>
      </c>
      <c r="D30" s="8">
        <f>(ZScores!J31+ZScores!K31+ZScores!L31+ZScores!M31+ZScores!N31+ZScores!O31)/6</f>
        <v>0.71531209065557111</v>
      </c>
      <c r="E30" s="8">
        <f>(ZScores!P31+ZScores!Q31+ZScores!R31)/3</f>
        <v>-8.0594309805850084E-2</v>
      </c>
      <c r="F30" s="8">
        <f>(ZScores!S31+ZScores!T31)/2</f>
        <v>-0.29735595373768153</v>
      </c>
      <c r="G30" s="8">
        <f>(ZScores!U31+ZScores!V31)/2</f>
        <v>0.70902688690871529</v>
      </c>
      <c r="H30" s="8">
        <f>(ZScores!W31)/1</f>
        <v>0.64506099602380218</v>
      </c>
      <c r="I30" s="8">
        <f>(ZScores!X31+ZScores!Y31)/2</f>
        <v>-0.25201918608761009</v>
      </c>
      <c r="J30" s="8">
        <f>(ZScores!Z31+ZScores!AA31)/2</f>
        <v>0.44891080462021671</v>
      </c>
      <c r="K30" s="8">
        <f>(ZScores!AB31+ZScores!AC31)/2</f>
        <v>0.94760959073522244</v>
      </c>
      <c r="L30" s="8">
        <f>(ZScores!AD31+ZScores!AE31+ZScores!AF31+ZScores!AG31)/4</f>
        <v>0.49985696265368185</v>
      </c>
      <c r="M30" s="8">
        <f>(ZScores!AH31+ZScores!AI31+ZScores!AJ31)/3</f>
        <v>-1.4533411857600071</v>
      </c>
      <c r="N30" s="8">
        <f>(ZScores!AK31+ZScores!AL31+ZScores!AM31)/3</f>
        <v>-0.82131364667509443</v>
      </c>
      <c r="O30" s="8">
        <f>(ZScores!AN31)/1</f>
        <v>-0.59695554096146797</v>
      </c>
      <c r="P30" s="8">
        <f>(ZScores!AO31+ZScores!AP31+ZScores!AQ31)/3</f>
        <v>-8.2024470186937037E-2</v>
      </c>
    </row>
    <row r="31" spans="1:16" x14ac:dyDescent="0.3">
      <c r="A31" s="6" t="str">
        <f>RawData!A31</f>
        <v>Netherlands</v>
      </c>
      <c r="B31" s="8">
        <f>(ZScores!B32)/1</f>
        <v>-0.2933946498956978</v>
      </c>
      <c r="C31" s="8">
        <f>(ZScores!C32+ZScores!D32+ZScores!E32+ZScores!F32+ZScores!G32+ZScores!H32+ZScores!I32)/7</f>
        <v>-1.8215936203128686E-2</v>
      </c>
      <c r="D31" s="8">
        <f>(ZScores!J32+ZScores!K32+ZScores!L32+ZScores!M32+ZScores!N32+ZScores!O32)/6</f>
        <v>-1.934600431816445E-2</v>
      </c>
      <c r="E31" s="8">
        <f>(ZScores!P32+ZScores!Q32+ZScores!R32)/3</f>
        <v>-0.33765678155818835</v>
      </c>
      <c r="F31" s="8">
        <f>(ZScores!S32+ZScores!T32)/2</f>
        <v>0.32959579182366927</v>
      </c>
      <c r="G31" s="8">
        <f>(ZScores!U32+ZScores!V32)/2</f>
        <v>-0.88040304156558225</v>
      </c>
      <c r="H31" s="8">
        <f>(ZScores!W32)/1</f>
        <v>-0.31696089757527524</v>
      </c>
      <c r="I31" s="8">
        <f>(ZScores!X32+ZScores!Y32)/2</f>
        <v>0.27618078107132088</v>
      </c>
      <c r="J31" s="8">
        <f>(ZScores!Z32+ZScores!AA32)/2</f>
        <v>-9.3152332707395619E-3</v>
      </c>
      <c r="K31" s="8">
        <f>(ZScores!AB32+ZScores!AC32)/2</f>
        <v>-0.11380576816183255</v>
      </c>
      <c r="L31" s="8">
        <f>(ZScores!AD32+ZScores!AE32+ZScores!AF32+ZScores!AG32)/4</f>
        <v>5.7950007276271753E-3</v>
      </c>
      <c r="M31" s="8">
        <f>(ZScores!AH32+ZScores!AI32+ZScores!AJ32)/3</f>
        <v>0.62310499625721361</v>
      </c>
      <c r="N31" s="8">
        <f>(ZScores!AK32+ZScores!AL32+ZScores!AM32)/3</f>
        <v>1.2065677091879936</v>
      </c>
      <c r="O31" s="8">
        <f>(ZScores!AN32)/1</f>
        <v>0.7926462646541349</v>
      </c>
      <c r="P31" s="8">
        <f>(ZScores!AO32+ZScores!AP32+ZScores!AQ32)/3</f>
        <v>-0.18336249975786215</v>
      </c>
    </row>
    <row r="32" spans="1:16" x14ac:dyDescent="0.3">
      <c r="A32" s="6" t="str">
        <f>RawData!A32</f>
        <v>Norway</v>
      </c>
      <c r="B32" s="8">
        <f>(ZScores!B33)/1</f>
        <v>0.40304135053010626</v>
      </c>
      <c r="C32" s="8">
        <f>(ZScores!C33+ZScores!D33+ZScores!E33+ZScores!F33+ZScores!G33+ZScores!H33+ZScores!I33)/7</f>
        <v>-0.3891246037179048</v>
      </c>
      <c r="D32" s="8">
        <f>(ZScores!J33+ZScores!K33+ZScores!L33+ZScores!M33+ZScores!N33+ZScores!O33)/6</f>
        <v>0.43891823529975893</v>
      </c>
      <c r="E32" s="8">
        <f>(ZScores!P33+ZScores!Q33+ZScores!R33)/3</f>
        <v>5.4497637891548746E-2</v>
      </c>
      <c r="F32" s="8">
        <f>(ZScores!S33+ZScores!T33)/2</f>
        <v>0.32959579182366927</v>
      </c>
      <c r="G32" s="8">
        <f>(ZScores!U33+ZScores!V33)/2</f>
        <v>-1.2477171557886908</v>
      </c>
      <c r="H32" s="8">
        <f>(ZScores!W33)/1</f>
        <v>-1.0865784124545372</v>
      </c>
      <c r="I32" s="8">
        <f>(ZScores!X33+ZScores!Y33)/2</f>
        <v>0.56479589886090886</v>
      </c>
      <c r="J32" s="8">
        <f>(ZScores!Z33+ZScores!AA33)/2</f>
        <v>0.43561937558703256</v>
      </c>
      <c r="K32" s="8">
        <f>(ZScores!AB33+ZScores!AC33)/2</f>
        <v>-0.58191133955841778</v>
      </c>
      <c r="L32" s="8">
        <f>(ZScores!AD33+ZScores!AE33+ZScores!AF33+ZScores!AG33)/4</f>
        <v>0.49985696265368185</v>
      </c>
      <c r="M32" s="8">
        <f>(ZScores!AH33+ZScores!AI33+ZScores!AJ33)/3</f>
        <v>-7.1628634210642847E-2</v>
      </c>
      <c r="N32" s="8">
        <f>(ZScores!AK33+ZScores!AL33+ZScores!AM33)/3</f>
        <v>0.87188655780017399</v>
      </c>
      <c r="O32" s="8">
        <f>(ZScores!AN33)/1</f>
        <v>0.26685098685363651</v>
      </c>
      <c r="P32" s="8">
        <f>(ZScores!AO33+ZScores!AP33+ZScores!AQ33)/3</f>
        <v>-0.50869558160444539</v>
      </c>
    </row>
    <row r="33" spans="1:16" x14ac:dyDescent="0.3">
      <c r="A33" s="6" t="str">
        <f>RawData!A33</f>
        <v>New Zealand</v>
      </c>
      <c r="B33" s="8">
        <f>(ZScores!B34)/1</f>
        <v>-0.6965944396159004</v>
      </c>
      <c r="C33" s="8">
        <f>(ZScores!C34+ZScores!D34+ZScores!E34+ZScores!F34+ZScores!G34+ZScores!H34+ZScores!I34)/7</f>
        <v>-0.52977390716227835</v>
      </c>
      <c r="D33" s="8">
        <f>(ZScores!J34+ZScores!K34+ZScores!L34+ZScores!M34+ZScores!N34+ZScores!O34)/6</f>
        <v>0.14322038127792877</v>
      </c>
      <c r="E33" s="8">
        <f>(ZScores!P34+ZScores!Q34+ZScores!R34)/3</f>
        <v>1.19313782122444E-2</v>
      </c>
      <c r="F33" s="8">
        <f>(ZScores!S34+ZScores!T34)/2</f>
        <v>0.32959579182366927</v>
      </c>
      <c r="G33" s="8">
        <f>(ZScores!U34+ZScores!V34)/2</f>
        <v>1.1687715062016046</v>
      </c>
      <c r="H33" s="8">
        <f>(ZScores!W34)/1</f>
        <v>0.83746537474361771</v>
      </c>
      <c r="I33" s="8">
        <f>(ZScores!X34+ZScores!Y34)/2</f>
        <v>1.7792335819675589</v>
      </c>
      <c r="J33" s="8">
        <f>(ZScores!Z34+ZScores!AA34)/2</f>
        <v>-0.35557745572176935</v>
      </c>
      <c r="K33" s="8">
        <f>(ZScores!AB34+ZScores!AC34)/2</f>
        <v>0.94760959073522244</v>
      </c>
      <c r="L33" s="8">
        <f>(ZScores!AD34+ZScores!AE34+ZScores!AF34+ZScores!AG34)/4</f>
        <v>1.1763791660340783</v>
      </c>
      <c r="M33" s="8">
        <f>(ZScores!AH34+ZScores!AI34+ZScores!AJ34)/3</f>
        <v>0.62310499625721361</v>
      </c>
      <c r="N33" s="8">
        <f>(ZScores!AK34+ZScores!AL34+ZScores!AM34)/3</f>
        <v>-0.23626341713244922</v>
      </c>
      <c r="O33" s="8">
        <f>(ZScores!AN34)/1</f>
        <v>-1.3105348465478586</v>
      </c>
      <c r="P33" s="8">
        <f>(ZScores!AO34+ZScores!AP34+ZScores!AQ34)/3</f>
        <v>0.49749535985143806</v>
      </c>
    </row>
    <row r="34" spans="1:16" x14ac:dyDescent="0.3">
      <c r="A34" s="6" t="str">
        <f>RawData!A34</f>
        <v>Poland</v>
      </c>
      <c r="B34" s="8">
        <f>(ZScores!B35)/1</f>
        <v>0.95285924560310931</v>
      </c>
      <c r="C34" s="8">
        <f>(ZScores!C35+ZScores!D35+ZScores!E35+ZScores!F35+ZScores!G35+ZScores!H35+ZScores!I35)/7</f>
        <v>9.0593309735220159E-2</v>
      </c>
      <c r="D34" s="8">
        <f>(ZScores!J35+ZScores!K35+ZScores!L35+ZScores!M35+ZScores!N35+ZScores!O35)/6</f>
        <v>-0.62855302151419268</v>
      </c>
      <c r="E34" s="8">
        <f>(ZScores!P35+ZScores!Q35+ZScores!R35)/3</f>
        <v>0.18619867287510658</v>
      </c>
      <c r="F34" s="8">
        <f>(ZScores!S35+ZScores!T35)/2</f>
        <v>-1.8322365757813053</v>
      </c>
      <c r="G34" s="8">
        <f>(ZScores!U35+ZScores!V35)/2</f>
        <v>0.2874442753634211</v>
      </c>
      <c r="H34" s="8">
        <f>(ZScores!W35)/1</f>
        <v>-0.70176965501490629</v>
      </c>
      <c r="I34" s="8">
        <f>(ZScores!X35+ZScores!Y35)/2</f>
        <v>-0.85042618971598638</v>
      </c>
      <c r="J34" s="8">
        <f>(ZScores!Z35+ZScores!AA35)/2</f>
        <v>0.23553189692397861</v>
      </c>
      <c r="K34" s="8">
        <f>(ZScores!AB35+ZScores!AC35)/2</f>
        <v>-0.11380576816183255</v>
      </c>
      <c r="L34" s="8">
        <f>(ZScores!AD35+ZScores!AE35+ZScores!AF35+ZScores!AG35)/4</f>
        <v>-1.0591067725190721</v>
      </c>
      <c r="M34" s="8">
        <f>(ZScores!AH35+ZScores!AI35+ZScores!AJ35)/3</f>
        <v>-0.88126491522942185</v>
      </c>
      <c r="N34" s="8">
        <f>(ZScores!AK35+ZScores!AL35+ZScores!AM35)/3</f>
        <v>-0.18171728368541884</v>
      </c>
      <c r="O34" s="8">
        <f>(ZScores!AN35)/1</f>
        <v>0.45463501463952877</v>
      </c>
      <c r="P34" s="8">
        <f>(ZScores!AO35+ZScores!AP35+ZScores!AQ35)/3</f>
        <v>-0.50869558160444539</v>
      </c>
    </row>
    <row r="35" spans="1:16" x14ac:dyDescent="0.3">
      <c r="A35" s="6" t="str">
        <f>RawData!A35</f>
        <v>Portugal</v>
      </c>
      <c r="B35" s="8">
        <f>(ZScores!B36)/1</f>
        <v>-1.1547760188434024</v>
      </c>
      <c r="C35" s="8">
        <f>(ZScores!C36+ZScores!D36+ZScores!E36+ZScores!F36+ZScores!G36+ZScores!H36+ZScores!I36)/7</f>
        <v>0.27015059931653596</v>
      </c>
      <c r="D35" s="8">
        <f>(ZScores!J36+ZScores!K36+ZScores!L36+ZScores!M36+ZScores!N36+ZScores!O36)/6</f>
        <v>-1.0839143788051344</v>
      </c>
      <c r="E35" s="8">
        <f>(ZScores!P36+ZScores!Q36+ZScores!R36)/3</f>
        <v>-0.5941796188106313</v>
      </c>
      <c r="F35" s="8">
        <f>(ZScores!S36+ZScores!T36)/2</f>
        <v>0.32959579182366927</v>
      </c>
      <c r="G35" s="8">
        <f>(ZScores!U36+ZScores!V36)/2</f>
        <v>-0.12899126232305963</v>
      </c>
      <c r="H35" s="8">
        <f>(ZScores!W36)/1</f>
        <v>-0.70176965501490629</v>
      </c>
      <c r="I35" s="8">
        <f>(ZScores!X36+ZScores!Y36)/2</f>
        <v>0.29436810250197382</v>
      </c>
      <c r="J35" s="8">
        <f>(ZScores!Z36+ZScores!AA36)/2</f>
        <v>5.7251121532866441E-2</v>
      </c>
      <c r="K35" s="8">
        <f>(ZScores!AB36+ZScores!AC36)/2</f>
        <v>-0.11380576816183255</v>
      </c>
      <c r="L35" s="8">
        <f>(ZScores!AD36+ZScores!AE36+ZScores!AF36+ZScores!AG36)/4</f>
        <v>5.7950007276271753E-3</v>
      </c>
      <c r="M35" s="8">
        <f>(ZScores!AH36+ZScores!AI36+ZScores!AJ36)/3</f>
        <v>-3.4731258453406633E-2</v>
      </c>
      <c r="N35" s="8">
        <f>(ZScores!AK36+ZScores!AL36+ZScores!AM36)/3</f>
        <v>-0.69612910759768176</v>
      </c>
      <c r="O35" s="8">
        <f>(ZScores!AN36)/1</f>
        <v>7.9066959067744233E-2</v>
      </c>
      <c r="P35" s="8">
        <f>(ZScores!AO36+ZScores!AP36+ZScores!AQ36)/3</f>
        <v>-0.50869558160444539</v>
      </c>
    </row>
    <row r="36" spans="1:16" x14ac:dyDescent="0.3">
      <c r="A36" s="6" t="str">
        <f>RawData!A36</f>
        <v>Sweden</v>
      </c>
      <c r="B36" s="8">
        <f>(ZScores!B37)/1</f>
        <v>0.65962303489750795</v>
      </c>
      <c r="C36" s="8">
        <f>(ZScores!C37+ZScores!D37+ZScores!E37+ZScores!F37+ZScores!G37+ZScores!H37+ZScores!I37)/7</f>
        <v>-7.5204363995470702E-2</v>
      </c>
      <c r="D36" s="8">
        <f>(ZScores!J37+ZScores!K37+ZScores!L37+ZScores!M37+ZScores!N37+ZScores!O37)/6</f>
        <v>0.59941229474757618</v>
      </c>
      <c r="E36" s="8">
        <f>(ZScores!P37+ZScores!Q37+ZScores!R37)/3</f>
        <v>-6.8077254677430801E-3</v>
      </c>
      <c r="F36" s="8">
        <f>(ZScores!S37+ZScores!T37)/2</f>
        <v>0.31919007418743511</v>
      </c>
      <c r="G36" s="8">
        <f>(ZScores!U37+ZScores!V37)/2</f>
        <v>-0.60976454944450986</v>
      </c>
      <c r="H36" s="8">
        <f>(ZScores!W37)/1</f>
        <v>-1.0865784124545372</v>
      </c>
      <c r="I36" s="8">
        <f>(ZScores!X37+ZScores!Y37)/2</f>
        <v>0.50604495107101533</v>
      </c>
      <c r="J36" s="8">
        <f>(ZScores!Z37+ZScores!AA37)/2</f>
        <v>0.42301762009596411</v>
      </c>
      <c r="K36" s="8">
        <f>(ZScores!AB37+ZScores!AC37)/2</f>
        <v>0.94760959073522244</v>
      </c>
      <c r="L36" s="8">
        <f>(ZScores!AD37+ZScores!AE37+ZScores!AF37+ZScores!AG37)/4</f>
        <v>5.7950007276271753E-3</v>
      </c>
      <c r="M36" s="8">
        <f>(ZScores!AH37+ZScores!AI37+ZScores!AJ37)/3</f>
        <v>0.62310499625721361</v>
      </c>
      <c r="N36" s="8">
        <f>(ZScores!AK37+ZScores!AL37+ZScores!AM37)/3</f>
        <v>0.70454598210626429</v>
      </c>
      <c r="O36" s="8">
        <f>(ZScores!AN37)/1</f>
        <v>0.26685098685363651</v>
      </c>
      <c r="P36" s="8">
        <f>(ZScores!AO37+ZScores!AP37+ZScores!AQ37)/3</f>
        <v>-0.83402866345102866</v>
      </c>
    </row>
    <row r="37" spans="1:16" x14ac:dyDescent="0.3">
      <c r="A37" s="6" t="str">
        <f>RawData!A37</f>
        <v>Slovenia</v>
      </c>
      <c r="B37" s="8">
        <f>(ZScores!B38)/1</f>
        <v>0.40304135053010626</v>
      </c>
      <c r="C37" s="8">
        <f>(ZScores!C38+ZScores!D38+ZScores!E38+ZScores!F38+ZScores!G38+ZScores!H38+ZScores!I38)/7</f>
        <v>-0.36596895285693115</v>
      </c>
      <c r="D37" s="8">
        <f>(ZScores!J38+ZScores!K38+ZScores!L38+ZScores!M38+ZScores!N38+ZScores!O38)/6</f>
        <v>0.42269883068874342</v>
      </c>
      <c r="E37" s="8">
        <f>(ZScores!P38+ZScores!Q38+ZScores!R38)/3</f>
        <v>-0.32222933468426829</v>
      </c>
      <c r="F37" s="8">
        <f>(ZScores!S38+ZScores!T38)/2</f>
        <v>0.32959579182366927</v>
      </c>
      <c r="G37" s="8">
        <f>(ZScores!U38+ZScores!V38)/2</f>
        <v>0.74342791116085183</v>
      </c>
      <c r="H37" s="8">
        <f>(ZScores!W38)/1</f>
        <v>-0.50936527629509076</v>
      </c>
      <c r="I37" s="8">
        <f>(ZScores!X38+ZScores!Y38)/2</f>
        <v>-0.4188951476165732</v>
      </c>
      <c r="J37" s="8">
        <f>(ZScores!Z38+ZScores!AA38)/2</f>
        <v>-1.0127731873573509</v>
      </c>
      <c r="K37" s="8">
        <f>(ZScores!AB38+ZScores!AC38)/2</f>
        <v>-0.11380576816183255</v>
      </c>
      <c r="L37" s="8">
        <f>(ZScores!AD38+ZScores!AE38+ZScores!AF38+ZScores!AG38)/4</f>
        <v>0.49985696265368185</v>
      </c>
      <c r="M37" s="8">
        <f>(ZScores!AH38+ZScores!AI38+ZScores!AJ38)/3</f>
        <v>-0.54065705452287494</v>
      </c>
      <c r="N37" s="8">
        <f>(ZScores!AK38+ZScores!AL38+ZScores!AM38)/3</f>
        <v>0.26575830994928035</v>
      </c>
      <c r="O37" s="8">
        <f>(ZScores!AN38)/1</f>
        <v>-0.59695554096146797</v>
      </c>
      <c r="P37" s="8">
        <f>(ZScores!AO38+ZScores!AP38+ZScores!AQ38)/3</f>
        <v>0.49749535985143806</v>
      </c>
    </row>
    <row r="38" spans="1:16" x14ac:dyDescent="0.3">
      <c r="A38" s="6" t="str">
        <f>RawData!A38</f>
        <v>Slovak Republic</v>
      </c>
      <c r="B38" s="8">
        <f>(ZScores!B39)/1</f>
        <v>3.6496087148104359E-2</v>
      </c>
      <c r="C38" s="8">
        <f>(ZScores!C39+ZScores!D39+ZScores!E39+ZScores!F39+ZScores!G39+ZScores!H39+ZScores!I39)/7</f>
        <v>-0.13905088074519625</v>
      </c>
      <c r="D38" s="8">
        <f>(ZScores!J39+ZScores!K39+ZScores!L39+ZScores!M39+ZScores!N39+ZScores!O39)/6</f>
        <v>-0.287808964570134</v>
      </c>
      <c r="E38" s="8">
        <f>(ZScores!P39+ZScores!Q39+ZScores!R39)/3</f>
        <v>0.68157934397187292</v>
      </c>
      <c r="F38" s="8">
        <f>(ZScores!S39+ZScores!T39)/2</f>
        <v>0.32959579182366927</v>
      </c>
      <c r="G38" s="8">
        <f>(ZScores!U39+ZScores!V39)/2</f>
        <v>1.5309212136932921</v>
      </c>
      <c r="H38" s="8">
        <f>(ZScores!W39)/1</f>
        <v>-0.70176965501490629</v>
      </c>
      <c r="I38" s="8">
        <f>(ZScores!X39+ZScores!Y39)/2</f>
        <v>-0.66083249990357018</v>
      </c>
      <c r="J38" s="8">
        <f>(ZScores!Z39+ZScores!AA39)/2</f>
        <v>0.1735570298616905</v>
      </c>
      <c r="K38" s="8">
        <f>(ZScores!AB39+ZScores!AC39)/2</f>
        <v>0.94760959073522244</v>
      </c>
      <c r="L38" s="8">
        <f>(ZScores!AD39+ZScores!AE39+ZScores!AF39+ZScores!AG39)/4</f>
        <v>0.17762903808118269</v>
      </c>
      <c r="M38" s="8">
        <f>(ZScores!AH39+ZScores!AI39+ZScores!AJ39)/3</f>
        <v>-3.4731258453406633E-2</v>
      </c>
      <c r="N38" s="8">
        <f>(ZScores!AK39+ZScores!AL39+ZScores!AM39)/3</f>
        <v>-0.65448649929001601</v>
      </c>
      <c r="O38" s="8">
        <f>(ZScores!AN39)/1</f>
        <v>-3.3603457603791138E-2</v>
      </c>
      <c r="P38" s="8">
        <f>(ZScores!AO39+ZScores!AP39+ZScores!AQ39)/3</f>
        <v>0.24330861165964621</v>
      </c>
    </row>
    <row r="39" spans="1:16" x14ac:dyDescent="0.3">
      <c r="A39" s="6" t="str">
        <f>RawData!A39</f>
        <v>Turkey</v>
      </c>
      <c r="B39" s="8">
        <f>(ZScores!B40)/1</f>
        <v>-0.14677654454289685</v>
      </c>
      <c r="C39" s="8">
        <f>(ZScores!C40+ZScores!D40+ZScores!E40+ZScores!F40+ZScores!G40+ZScores!H40+ZScores!I40)/7</f>
        <v>4.1906291696108343E-2</v>
      </c>
      <c r="D39" s="8">
        <f>(ZScores!J40+ZScores!K40+ZScores!L40+ZScores!M40+ZScores!N40+ZScores!O40)/6</f>
        <v>-0.12271433919013174</v>
      </c>
      <c r="E39" s="8">
        <f>(ZScores!P40+ZScores!Q40+ZScores!R40)/3</f>
        <v>0.23934090827553037</v>
      </c>
      <c r="F39" s="8">
        <f>(ZScores!S40+ZScores!T40)/2</f>
        <v>0.32959579182366927</v>
      </c>
      <c r="G39" s="8">
        <f>(ZScores!U40+ZScores!V40)/2</f>
        <v>0.96217605075319634</v>
      </c>
      <c r="H39" s="8">
        <f>(ZScores!W40)/1</f>
        <v>-0.12455651885545976</v>
      </c>
      <c r="I39" s="8">
        <f>(ZScores!X40+ZScores!Y40)/2</f>
        <v>-1.2794800957096841E-2</v>
      </c>
      <c r="J39" s="8">
        <f>(ZScores!Z40+ZScores!AA40)/2</f>
        <v>0.44734781930111156</v>
      </c>
      <c r="K39" s="8">
        <f>(ZScores!AB40+ZScores!AC40)/2</f>
        <v>-0.11380576816183255</v>
      </c>
      <c r="L39" s="8">
        <f>(ZScores!AD40+ZScores!AE40+ZScores!AF40+ZScores!AG40)/4</f>
        <v>-0.56504481059301748</v>
      </c>
      <c r="M39" s="8">
        <f>(ZScores!AH40+ZScores!AI40+ZScores!AJ40)/3</f>
        <v>0.62310499625721361</v>
      </c>
      <c r="N39" s="8">
        <f>(ZScores!AK40+ZScores!AL40+ZScores!AM40)/3</f>
        <v>0.24323265514631962</v>
      </c>
      <c r="O39" s="8">
        <f>(ZScores!AN40)/1</f>
        <v>0.64241904242542103</v>
      </c>
      <c r="P39" s="8">
        <f>(ZScores!AO40+ZScores!AP40+ZScores!AQ40)/3</f>
        <v>-0.15317080384172843</v>
      </c>
    </row>
    <row r="40" spans="1:16" x14ac:dyDescent="0.3">
      <c r="A40" s="6" t="str">
        <f>RawData!A40</f>
        <v>United States</v>
      </c>
      <c r="B40" s="8">
        <f>(ZScores!B41)/1</f>
        <v>-0.2511895286341036</v>
      </c>
      <c r="C40" s="8">
        <f>(ZScores!C41+ZScores!D41+ZScores!E41+ZScores!F41+ZScores!G41+ZScores!H41+ZScores!I41)/7</f>
        <v>0.71262270759280055</v>
      </c>
      <c r="D40" s="8">
        <f>(ZScores!J41+ZScores!K41+ZScores!L41+ZScores!M41+ZScores!N41+ZScores!O41)/6</f>
        <v>0.27121429530417424</v>
      </c>
      <c r="E40" s="8">
        <f>(ZScores!P41+ZScores!Q41+ZScores!R41)/3</f>
        <v>-7.7108429545646825E-2</v>
      </c>
      <c r="F40" s="8">
        <f>(ZScores!S41+ZScores!T41)/2</f>
        <v>0.32959579182366927</v>
      </c>
      <c r="G40" s="8">
        <f>(ZScores!U41+ZScores!V41)/2</f>
        <v>-0.50870309069374375</v>
      </c>
      <c r="H40" s="8">
        <f>(ZScores!W41)/1</f>
        <v>2.2804982151422339</v>
      </c>
      <c r="I40" s="8">
        <f>(ZScores!X41+ZScores!Y41)/2</f>
        <v>-0.21533063422571141</v>
      </c>
      <c r="J40" s="8">
        <f>(ZScores!Z41+ZScores!AA41)/2</f>
        <v>-1.167978796754102</v>
      </c>
      <c r="K40" s="8">
        <f>(ZScores!AB41+ZScores!AC41)/2</f>
        <v>-0.11380576816183255</v>
      </c>
      <c r="L40" s="8">
        <f>(ZScores!AD41+ZScores!AE41+ZScores!AF41+ZScores!AG41)/4</f>
        <v>5.7950007276271753E-3</v>
      </c>
      <c r="M40" s="8">
        <f>(ZScores!AH41+ZScores!AI41+ZScores!AJ41)/3</f>
        <v>-0.22342866051880164</v>
      </c>
      <c r="N40" s="8">
        <f>(ZScores!AK41+ZScores!AL41+ZScores!AM41)/3</f>
        <v>-1.1770728163711626</v>
      </c>
      <c r="O40" s="8">
        <f>(ZScores!AN41)/1</f>
        <v>-0.44672831873275415</v>
      </c>
      <c r="P40" s="8">
        <f>(ZScores!AO41+ZScores!AP41+ZScores!AQ41)/3</f>
        <v>-0.18336249975786215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workbookViewId="0">
      <selection activeCell="B4" sqref="B4"/>
    </sheetView>
  </sheetViews>
  <sheetFormatPr defaultRowHeight="14.4" x14ac:dyDescent="0.3"/>
  <sheetData>
    <row r="1" spans="1:16" ht="18" x14ac:dyDescent="0.35">
      <c r="A1" s="4" t="s">
        <v>115</v>
      </c>
    </row>
    <row r="2" spans="1:16" x14ac:dyDescent="0.3">
      <c r="A2" t="s">
        <v>116</v>
      </c>
    </row>
    <row r="3" spans="1:16" x14ac:dyDescent="0.3">
      <c r="A3" s="5" t="s">
        <v>17</v>
      </c>
      <c r="B3" s="5" t="s">
        <v>18</v>
      </c>
      <c r="C3" s="5" t="s">
        <v>102</v>
      </c>
      <c r="D3" s="5" t="s">
        <v>103</v>
      </c>
      <c r="E3" s="5" t="s">
        <v>104</v>
      </c>
      <c r="F3" s="5" t="s">
        <v>105</v>
      </c>
      <c r="G3" s="5" t="s">
        <v>106</v>
      </c>
      <c r="H3" s="5" t="s">
        <v>107</v>
      </c>
      <c r="I3" s="5" t="s">
        <v>108</v>
      </c>
      <c r="J3" s="5" t="s">
        <v>109</v>
      </c>
      <c r="K3" s="5" t="s">
        <v>110</v>
      </c>
      <c r="L3" s="5" t="s">
        <v>111</v>
      </c>
      <c r="M3" s="5" t="s">
        <v>112</v>
      </c>
      <c r="N3" s="5" t="s">
        <v>113</v>
      </c>
      <c r="O3" s="5" t="s">
        <v>56</v>
      </c>
      <c r="P3" s="5" t="s">
        <v>114</v>
      </c>
    </row>
    <row r="4" spans="1:16" x14ac:dyDescent="0.3">
      <c r="A4" s="6" t="str">
        <f>RawData!A3</f>
        <v>Austria</v>
      </c>
      <c r="B4" s="8">
        <f>(Subcategories!B3-MIN(Subcategories!$B$3:$B$40)+1)/(MAX(Subcategories!$B$3:$B$40)-MIN(Subcategories!$B$3:$B$40)+1)*100</f>
        <v>57.037228414934162</v>
      </c>
      <c r="C4" s="8">
        <f>(Subcategories!C3-MIN(Subcategories!$C$3:$C$40)+1)/(MAX(Subcategories!$C$3:$C$40)-MIN(Subcategories!$C$3:$C$40)+1)*100</f>
        <v>51.308851607923891</v>
      </c>
      <c r="D4" s="8">
        <f>(Subcategories!D3-MIN(Subcategories!$D$3:$D$40)+1)/(MAX(Subcategories!$D$3:$D$40)-MIN(Subcategories!$D$3:$D$40)+1)*100</f>
        <v>69.764141504715894</v>
      </c>
      <c r="E4" s="8">
        <f>(Subcategories!E3-MIN(Subcategories!$E$3:$E$40)+1)/(MAX(Subcategories!$E$3:$E$40)-MIN(Subcategories!$E$3:$E$40)+1)*100</f>
        <v>40.577319230494133</v>
      </c>
      <c r="F4" s="8">
        <f>(Subcategories!F3-MIN(Subcategories!$F$3:$F$40)+1)/(MAX(Subcategories!$F$3:$F$40)-MIN(Subcategories!$F$3:$F$40)+1)*100</f>
        <v>100</v>
      </c>
      <c r="G4" s="8">
        <f>(Subcategories!G3-MIN(Subcategories!$G$3:$G$40)+1)/(MAX(Subcategories!$G$3:$G$40)-MIN(Subcategories!$G$3:$G$40)+1)*100</f>
        <v>52.485977873986478</v>
      </c>
      <c r="H4" s="8">
        <f>(Subcategories!H3-MIN(Subcategories!$H$3:$H$40)+1)/(MAX(Subcategories!$H$3:$H$40)-MIN(Subcategories!$H$3:$H$40)+1)*100</f>
        <v>49.387358087988275</v>
      </c>
      <c r="I4" s="8">
        <f>(Subcategories!I3-MIN(Subcategories!$I$3:$I$40)+1)/(MAX(Subcategories!$I$3:$I$40)-MIN(Subcategories!$I$3:$I$40)+1)*100</f>
        <v>58.548483007336372</v>
      </c>
      <c r="J4" s="8">
        <f>(Subcategories!J3-MIN(Subcategories!$J$3:$J$40)+1)/(MAX(Subcategories!$J$3:$J$40)-MIN(Subcategories!$J$3:$J$40)+1)*100</f>
        <v>45.804792470518123</v>
      </c>
      <c r="K4" s="8">
        <f>(Subcategories!K3-MIN(Subcategories!$K$3:$K$40)+1)/(MAX(Subcategories!$K$3:$K$40)-MIN(Subcategories!$K$3:$K$40)+1)*100</f>
        <v>100</v>
      </c>
      <c r="L4" s="8">
        <f>(Subcategories!L3-MIN(Subcategories!$L$3:$L$40)+1)/(MAX(Subcategories!$L$3:$L$40)-MIN(Subcategories!$L$3:$L$40)+1)*100</f>
        <v>63.820452706714136</v>
      </c>
      <c r="M4" s="8">
        <f>(Subcategories!M3-MIN(Subcategories!$M$3:$M$40)+1)/(MAX(Subcategories!$M$3:$M$40)-MIN(Subcategories!$M$3:$M$40)+1)*100</f>
        <v>100</v>
      </c>
      <c r="N4" s="8">
        <f>(Subcategories!N3-MIN(Subcategories!$N$3:$N$40)+1)/(MAX(Subcategories!$N$3:$N$40)-MIN(Subcategories!$N$3:$N$40)+1)*100</f>
        <v>62.067048366985787</v>
      </c>
      <c r="O4" s="8">
        <f>(Subcategories!O3-MIN(Subcategories!$O$3:$O$40)+1)/(MAX(Subcategories!$O$3:$O$40)-MIN(Subcategories!$O$3:$O$40)+1)*100</f>
        <v>72.191023838872965</v>
      </c>
      <c r="P4" s="8">
        <f>(Subcategories!P3-MIN(Subcategories!$P$3:$P$40)+1)/(MAX(Subcategories!$P$3:$P$40)-MIN(Subcategories!$P$3:$P$40)+1)*100</f>
        <v>26.564756636648539</v>
      </c>
    </row>
    <row r="5" spans="1:16" x14ac:dyDescent="0.3">
      <c r="A5" s="6" t="str">
        <f>RawData!A4</f>
        <v>Australia</v>
      </c>
      <c r="B5" s="8">
        <f>(Subcategories!B4-MIN(Subcategories!$B$3:$B$40)+1)/(MAX(Subcategories!$B$3:$B$40)-MIN(Subcategories!$B$3:$B$40)+1)*100</f>
        <v>35.555842622401258</v>
      </c>
      <c r="C5" s="8">
        <f>(Subcategories!C4-MIN(Subcategories!$C$3:$C$40)+1)/(MAX(Subcategories!$C$3:$C$40)-MIN(Subcategories!$C$3:$C$40)+1)*100</f>
        <v>45.998336291669425</v>
      </c>
      <c r="D5" s="8">
        <f>(Subcategories!D4-MIN(Subcategories!$D$3:$D$40)+1)/(MAX(Subcategories!$D$3:$D$40)-MIN(Subcategories!$D$3:$D$40)+1)*100</f>
        <v>83.310971420697868</v>
      </c>
      <c r="E5" s="8">
        <f>(Subcategories!E4-MIN(Subcategories!$E$3:$E$40)+1)/(MAX(Subcategories!$E$3:$E$40)-MIN(Subcategories!$E$3:$E$40)+1)*100</f>
        <v>61.033279207428535</v>
      </c>
      <c r="F5" s="8">
        <f>(Subcategories!F4-MIN(Subcategories!$F$3:$F$40)+1)/(MAX(Subcategories!$F$3:$F$40)-MIN(Subcategories!$F$3:$F$40)+1)*100</f>
        <v>100</v>
      </c>
      <c r="G5" s="8">
        <f>(Subcategories!G4-MIN(Subcategories!$G$3:$G$40)+1)/(MAX(Subcategories!$G$3:$G$40)-MIN(Subcategories!$G$3:$G$40)+1)*100</f>
        <v>59.337095198246061</v>
      </c>
      <c r="H5" s="8">
        <f>(Subcategories!H4-MIN(Subcategories!$H$3:$H$40)+1)/(MAX(Subcategories!$H$3:$H$40)-MIN(Subcategories!$H$3:$H$40)+1)*100</f>
        <v>89.877471617597664</v>
      </c>
      <c r="I5" s="8">
        <f>(Subcategories!I4-MIN(Subcategories!$I$3:$I$40)+1)/(MAX(Subcategories!$I$3:$I$40)-MIN(Subcategories!$I$3:$I$40)+1)*100</f>
        <v>48.00129561767173</v>
      </c>
      <c r="J5" s="8">
        <f>(Subcategories!J4-MIN(Subcategories!$J$3:$J$40)+1)/(MAX(Subcategories!$J$3:$J$40)-MIN(Subcategories!$J$3:$J$40)+1)*100</f>
        <v>100</v>
      </c>
      <c r="K5" s="8">
        <f>(Subcategories!K4-MIN(Subcategories!$K$3:$K$40)+1)/(MAX(Subcategories!$K$3:$K$40)-MIN(Subcategories!$K$3:$K$40)+1)*100</f>
        <v>100</v>
      </c>
      <c r="L5" s="8">
        <f>(Subcategories!L4-MIN(Subcategories!$L$3:$L$40)+1)/(MAX(Subcategories!$L$3:$L$40)-MIN(Subcategories!$L$3:$L$40)+1)*100</f>
        <v>63.820452706714136</v>
      </c>
      <c r="M5" s="8">
        <f>(Subcategories!M4-MIN(Subcategories!$M$3:$M$40)+1)/(MAX(Subcategories!$M$3:$M$40)-MIN(Subcategories!$M$3:$M$40)+1)*100</f>
        <v>100</v>
      </c>
      <c r="N5" s="8">
        <f>(Subcategories!N4-MIN(Subcategories!$N$3:$N$40)+1)/(MAX(Subcategories!$N$3:$N$40)-MIN(Subcategories!$N$3:$N$40)+1)*100</f>
        <v>45.135536731769591</v>
      </c>
      <c r="O5" s="8">
        <f>(Subcategories!O4-MIN(Subcategories!$O$3:$O$40)+1)/(MAX(Subcategories!$O$3:$O$40)-MIN(Subcategories!$O$3:$O$40)+1)*100</f>
        <v>45.675488429426274</v>
      </c>
      <c r="P5" s="8">
        <f>(Subcategories!P4-MIN(Subcategories!$P$3:$P$40)+1)/(MAX(Subcategories!$P$3:$P$40)-MIN(Subcategories!$P$3:$P$40)+1)*100</f>
        <v>43.849544926859238</v>
      </c>
    </row>
    <row r="6" spans="1:16" x14ac:dyDescent="0.3">
      <c r="A6" s="6" t="str">
        <f>RawData!A5</f>
        <v>Belgium</v>
      </c>
      <c r="B6" s="8">
        <f>(Subcategories!B5-MIN(Subcategories!$B$3:$B$40)+1)/(MAX(Subcategories!$B$3:$B$40)-MIN(Subcategories!$B$3:$B$40)+1)*100</f>
        <v>50.899689617067608</v>
      </c>
      <c r="C6" s="8">
        <f>(Subcategories!C5-MIN(Subcategories!$C$3:$C$40)+1)/(MAX(Subcategories!$C$3:$C$40)-MIN(Subcategories!$C$3:$C$40)+1)*100</f>
        <v>56.494144626686591</v>
      </c>
      <c r="D6" s="8">
        <f>(Subcategories!D5-MIN(Subcategories!$D$3:$D$40)+1)/(MAX(Subcategories!$D$3:$D$40)-MIN(Subcategories!$D$3:$D$40)+1)*100</f>
        <v>76.986308039855984</v>
      </c>
      <c r="E6" s="8">
        <f>(Subcategories!E5-MIN(Subcategories!$E$3:$E$40)+1)/(MAX(Subcategories!$E$3:$E$40)-MIN(Subcategories!$E$3:$E$40)+1)*100</f>
        <v>47.974121864115958</v>
      </c>
      <c r="F6" s="8">
        <f>(Subcategories!F5-MIN(Subcategories!$F$3:$F$40)+1)/(MAX(Subcategories!$F$3:$F$40)-MIN(Subcategories!$F$3:$F$40)+1)*100</f>
        <v>100</v>
      </c>
      <c r="G6" s="8">
        <f>(Subcategories!G5-MIN(Subcategories!$G$3:$G$40)+1)/(MAX(Subcategories!$G$3:$G$40)-MIN(Subcategories!$G$3:$G$40)+1)*100</f>
        <v>74.327575360574031</v>
      </c>
      <c r="H6" s="8">
        <f>(Subcategories!H5-MIN(Subcategories!$H$3:$H$40)+1)/(MAX(Subcategories!$H$3:$H$40)-MIN(Subcategories!$H$3:$H$40)+1)*100</f>
        <v>45.338346735027343</v>
      </c>
      <c r="I6" s="8">
        <f>(Subcategories!I5-MIN(Subcategories!$I$3:$I$40)+1)/(MAX(Subcategories!$I$3:$I$40)-MIN(Subcategories!$I$3:$I$40)+1)*100</f>
        <v>50.285604963544216</v>
      </c>
      <c r="J6" s="8">
        <f>(Subcategories!J5-MIN(Subcategories!$J$3:$J$40)+1)/(MAX(Subcategories!$J$3:$J$40)-MIN(Subcategories!$J$3:$J$40)+1)*100</f>
        <v>59.030987138218116</v>
      </c>
      <c r="K6" s="8">
        <f>(Subcategories!K5-MIN(Subcategories!$K$3:$K$40)+1)/(MAX(Subcategories!$K$3:$K$40)-MIN(Subcategories!$K$3:$K$40)+1)*100</f>
        <v>49.144855910115623</v>
      </c>
      <c r="L6" s="8">
        <f>(Subcategories!L5-MIN(Subcategories!$L$3:$L$40)+1)/(MAX(Subcategories!$L$3:$L$40)-MIN(Subcategories!$L$3:$L$40)+1)*100</f>
        <v>48.221925140480046</v>
      </c>
      <c r="M6" s="8">
        <f>(Subcategories!M5-MIN(Subcategories!$M$3:$M$40)+1)/(MAX(Subcategories!$M$3:$M$40)-MIN(Subcategories!$M$3:$M$40)+1)*100</f>
        <v>100</v>
      </c>
      <c r="N6" s="8">
        <f>(Subcategories!N5-MIN(Subcategories!$N$3:$N$40)+1)/(MAX(Subcategories!$N$3:$N$40)-MIN(Subcategories!$N$3:$N$40)+1)*100</f>
        <v>31.269889644617088</v>
      </c>
      <c r="O6" s="8">
        <f>(Subcategories!O5-MIN(Subcategories!$O$3:$O$40)+1)/(MAX(Subcategories!$O$3:$O$40)-MIN(Subcategories!$O$3:$O$40)+1)*100</f>
        <v>76.071346093913959</v>
      </c>
      <c r="P6" s="8">
        <f>(Subcategories!P5-MIN(Subcategories!$P$3:$P$40)+1)/(MAX(Subcategories!$P$3:$P$40)-MIN(Subcategories!$P$3:$P$40)+1)*100</f>
        <v>26.564756636648539</v>
      </c>
    </row>
    <row r="7" spans="1:16" x14ac:dyDescent="0.3">
      <c r="A7" s="6" t="str">
        <f>RawData!A6</f>
        <v>Canada</v>
      </c>
      <c r="B7" s="8">
        <f>(Subcategories!B6-MIN(Subcategories!$B$3:$B$40)+1)/(MAX(Subcategories!$B$3:$B$40)-MIN(Subcategories!$B$3:$B$40)+1)*100</f>
        <v>47.88876038376543</v>
      </c>
      <c r="C7" s="8">
        <f>(Subcategories!C6-MIN(Subcategories!$C$3:$C$40)+1)/(MAX(Subcategories!$C$3:$C$40)-MIN(Subcategories!$C$3:$C$40)+1)*100</f>
        <v>46.403756004593305</v>
      </c>
      <c r="D7" s="8">
        <f>(Subcategories!D6-MIN(Subcategories!$D$3:$D$40)+1)/(MAX(Subcategories!$D$3:$D$40)-MIN(Subcategories!$D$3:$D$40)+1)*100</f>
        <v>80.020631343754502</v>
      </c>
      <c r="E7" s="8">
        <f>(Subcategories!E6-MIN(Subcategories!$E$3:$E$40)+1)/(MAX(Subcategories!$E$3:$E$40)-MIN(Subcategories!$E$3:$E$40)+1)*100</f>
        <v>56.751320719052259</v>
      </c>
      <c r="F7" s="8">
        <f>(Subcategories!F6-MIN(Subcategories!$F$3:$F$40)+1)/(MAX(Subcategories!$F$3:$F$40)-MIN(Subcategories!$F$3:$F$40)+1)*100</f>
        <v>100</v>
      </c>
      <c r="G7" s="8">
        <f>(Subcategories!G6-MIN(Subcategories!$G$3:$G$40)+1)/(MAX(Subcategories!$G$3:$G$40)-MIN(Subcategories!$G$3:$G$40)+1)*100</f>
        <v>40.989594414791611</v>
      </c>
      <c r="H7" s="8">
        <f>(Subcategories!H6-MIN(Subcategories!$H$3:$H$40)+1)/(MAX(Subcategories!$H$3:$H$40)-MIN(Subcategories!$H$3:$H$40)+1)*100</f>
        <v>80.564745505787499</v>
      </c>
      <c r="I7" s="8">
        <f>(Subcategories!I6-MIN(Subcategories!$I$3:$I$40)+1)/(MAX(Subcategories!$I$3:$I$40)-MIN(Subcategories!$I$3:$I$40)+1)*100</f>
        <v>61.527827407477766</v>
      </c>
      <c r="J7" s="8">
        <f>(Subcategories!J6-MIN(Subcategories!$J$3:$J$40)+1)/(MAX(Subcategories!$J$3:$J$40)-MIN(Subcategories!$J$3:$J$40)+1)*100</f>
        <v>50.004903937534408</v>
      </c>
      <c r="K7" s="8">
        <f>(Subcategories!K6-MIN(Subcategories!$K$3:$K$40)+1)/(MAX(Subcategories!$K$3:$K$40)-MIN(Subcategories!$K$3:$K$40)+1)*100</f>
        <v>100</v>
      </c>
      <c r="L7" s="8">
        <f>(Subcategories!L6-MIN(Subcategories!$L$3:$L$40)+1)/(MAX(Subcategories!$L$3:$L$40)-MIN(Subcategories!$L$3:$L$40)+1)*100</f>
        <v>46.505785980937063</v>
      </c>
      <c r="M7" s="8">
        <f>(Subcategories!M6-MIN(Subcategories!$M$3:$M$40)+1)/(MAX(Subcategories!$M$3:$M$40)-MIN(Subcategories!$M$3:$M$40)+1)*100</f>
        <v>71.049241683873731</v>
      </c>
      <c r="N7" s="8">
        <f>(Subcategories!N6-MIN(Subcategories!$N$3:$N$40)+1)/(MAX(Subcategories!$N$3:$N$40)-MIN(Subcategories!$N$3:$N$40)+1)*100</f>
        <v>42.724908037180896</v>
      </c>
      <c r="O7" s="8">
        <f>(Subcategories!O6-MIN(Subcategories!$O$3:$O$40)+1)/(MAX(Subcategories!$O$3:$O$40)-MIN(Subcategories!$O$3:$O$40)+1)*100</f>
        <v>76.718066469754106</v>
      </c>
      <c r="P7" s="8">
        <f>(Subcategories!P6-MIN(Subcategories!$P$3:$P$40)+1)/(MAX(Subcategories!$P$3:$P$40)-MIN(Subcategories!$P$3:$P$40)+1)*100</f>
        <v>61.936368271529709</v>
      </c>
    </row>
    <row r="8" spans="1:16" x14ac:dyDescent="0.3">
      <c r="A8" s="6" t="str">
        <f>RawData!A7</f>
        <v>Switzerland</v>
      </c>
      <c r="B8" s="8">
        <f>(Subcategories!B7-MIN(Subcategories!$B$3:$B$40)+1)/(MAX(Subcategories!$B$3:$B$40)-MIN(Subcategories!$B$3:$B$40)+1)*100</f>
        <v>67.447043525838239</v>
      </c>
      <c r="C8" s="8">
        <f>(Subcategories!C7-MIN(Subcategories!$C$3:$C$40)+1)/(MAX(Subcategories!$C$3:$C$40)-MIN(Subcategories!$C$3:$C$40)+1)*100</f>
        <v>51.444029338901743</v>
      </c>
      <c r="D8" s="8">
        <f>(Subcategories!D7-MIN(Subcategories!$D$3:$D$40)+1)/(MAX(Subcategories!$D$3:$D$40)-MIN(Subcategories!$D$3:$D$40)+1)*100</f>
        <v>67.14859853845914</v>
      </c>
      <c r="E8" s="8">
        <f>(Subcategories!E7-MIN(Subcategories!$E$3:$E$40)+1)/(MAX(Subcategories!$E$3:$E$40)-MIN(Subcategories!$E$3:$E$40)+1)*100</f>
        <v>65.986688814552792</v>
      </c>
      <c r="F8" s="8">
        <f>(Subcategories!F7-MIN(Subcategories!$F$3:$F$40)+1)/(MAX(Subcategories!$F$3:$F$40)-MIN(Subcategories!$F$3:$F$40)+1)*100</f>
        <v>100</v>
      </c>
      <c r="G8" s="8">
        <f>(Subcategories!G7-MIN(Subcategories!$G$3:$G$40)+1)/(MAX(Subcategories!$G$3:$G$40)-MIN(Subcategories!$G$3:$G$40)+1)*100</f>
        <v>82.383582212425893</v>
      </c>
      <c r="H8" s="8">
        <f>(Subcategories!H7-MIN(Subcategories!$H$3:$H$40)+1)/(MAX(Subcategories!$H$3:$H$40)-MIN(Subcategories!$H$3:$H$40)+1)*100</f>
        <v>97.570593188223427</v>
      </c>
      <c r="I8" s="8">
        <f>(Subcategories!I7-MIN(Subcategories!$I$3:$I$40)+1)/(MAX(Subcategories!$I$3:$I$40)-MIN(Subcategories!$I$3:$I$40)+1)*100</f>
        <v>57.638391054861238</v>
      </c>
      <c r="J8" s="8">
        <f>(Subcategories!J7-MIN(Subcategories!$J$3:$J$40)+1)/(MAX(Subcategories!$J$3:$J$40)-MIN(Subcategories!$J$3:$J$40)+1)*100</f>
        <v>72.464858649370285</v>
      </c>
      <c r="K8" s="8">
        <f>(Subcategories!K7-MIN(Subcategories!$K$3:$K$40)+1)/(MAX(Subcategories!$K$3:$K$40)-MIN(Subcategories!$K$3:$K$40)+1)*100</f>
        <v>27.847890340192428</v>
      </c>
      <c r="L8" s="8">
        <f>(Subcategories!L7-MIN(Subcategories!$L$3:$L$40)+1)/(MAX(Subcategories!$L$3:$L$40)-MIN(Subcategories!$L$3:$L$40)+1)*100</f>
        <v>30.907258414702969</v>
      </c>
      <c r="M8" s="8">
        <f>(Subcategories!M7-MIN(Subcategories!$M$3:$M$40)+1)/(MAX(Subcategories!$M$3:$M$40)-MIN(Subcategories!$M$3:$M$40)+1)*100</f>
        <v>100</v>
      </c>
      <c r="N8" s="8">
        <f>(Subcategories!N7-MIN(Subcategories!$N$3:$N$40)+1)/(MAX(Subcategories!$N$3:$N$40)-MIN(Subcategories!$N$3:$N$40)+1)*100</f>
        <v>47.835333564563129</v>
      </c>
      <c r="O8" s="8">
        <f>(Subcategories!O7-MIN(Subcategories!$O$3:$O$40)+1)/(MAX(Subcategories!$O$3:$O$40)-MIN(Subcategories!$O$3:$O$40)+1)*100</f>
        <v>85.772151731516402</v>
      </c>
      <c r="P8" s="8">
        <f>(Subcategories!P7-MIN(Subcategories!$P$3:$P$40)+1)/(MAX(Subcategories!$P$3:$P$40)-MIN(Subcategories!$P$3:$P$40)+1)*100</f>
        <v>89.209560701785946</v>
      </c>
    </row>
    <row r="9" spans="1:16" x14ac:dyDescent="0.3">
      <c r="A9" s="6" t="str">
        <f>RawData!A8</f>
        <v>Chile</v>
      </c>
      <c r="B9" s="8">
        <f>(Subcategories!B8-MIN(Subcategories!$B$3:$B$40)+1)/(MAX(Subcategories!$B$3:$B$40)-MIN(Subcategories!$B$3:$B$40)+1)*100</f>
        <v>44.762150819201061</v>
      </c>
      <c r="C9" s="8">
        <f>(Subcategories!C8-MIN(Subcategories!$C$3:$C$40)+1)/(MAX(Subcategories!$C$3:$C$40)-MIN(Subcategories!$C$3:$C$40)+1)*100</f>
        <v>23.817605276708743</v>
      </c>
      <c r="D9" s="8">
        <f>(Subcategories!D8-MIN(Subcategories!$D$3:$D$40)+1)/(MAX(Subcategories!$D$3:$D$40)-MIN(Subcategories!$D$3:$D$40)+1)*100</f>
        <v>87.444553122388399</v>
      </c>
      <c r="E9" s="8">
        <f>(Subcategories!E8-MIN(Subcategories!$E$3:$E$40)+1)/(MAX(Subcategories!$E$3:$E$40)-MIN(Subcategories!$E$3:$E$40)+1)*100</f>
        <v>55.15630610132348</v>
      </c>
      <c r="F9" s="8">
        <f>(Subcategories!F8-MIN(Subcategories!$F$3:$F$40)+1)/(MAX(Subcategories!$F$3:$F$40)-MIN(Subcategories!$F$3:$F$40)+1)*100</f>
        <v>100</v>
      </c>
      <c r="G9" s="8">
        <f>(Subcategories!G8-MIN(Subcategories!$G$3:$G$40)+1)/(MAX(Subcategories!$G$3:$G$40)-MIN(Subcategories!$G$3:$G$40)+1)*100</f>
        <v>45.083659225212116</v>
      </c>
      <c r="H9" s="8">
        <f>(Subcategories!H8-MIN(Subcategories!$H$3:$H$40)+1)/(MAX(Subcategories!$H$3:$H$40)-MIN(Subcategories!$H$3:$H$40)+1)*100</f>
        <v>53.436369440949214</v>
      </c>
      <c r="I9" s="8">
        <f>(Subcategories!I8-MIN(Subcategories!$I$3:$I$40)+1)/(MAX(Subcategories!$I$3:$I$40)-MIN(Subcategories!$I$3:$I$40)+1)*100</f>
        <v>82.334177604033627</v>
      </c>
      <c r="J9" s="8">
        <f>(Subcategories!J8-MIN(Subcategories!$J$3:$J$40)+1)/(MAX(Subcategories!$J$3:$J$40)-MIN(Subcategories!$J$3:$J$40)+1)*100</f>
        <v>74.371479342843998</v>
      </c>
      <c r="K9" s="8">
        <f>(Subcategories!K8-MIN(Subcategories!$K$3:$K$40)+1)/(MAX(Subcategories!$K$3:$K$40)-MIN(Subcategories!$K$3:$K$40)+1)*100</f>
        <v>70.441821480038811</v>
      </c>
      <c r="L9" s="8">
        <f>(Subcategories!L8-MIN(Subcategories!$L$3:$L$40)+1)/(MAX(Subcategories!$L$3:$L$40)-MIN(Subcategories!$L$3:$L$40)+1)*100</f>
        <v>84.729899269876285</v>
      </c>
      <c r="M9" s="8">
        <f>(Subcategories!M8-MIN(Subcategories!$M$3:$M$40)+1)/(MAX(Subcategories!$M$3:$M$40)-MIN(Subcategories!$M$3:$M$40)+1)*100</f>
        <v>26.778906441695089</v>
      </c>
      <c r="N9" s="8">
        <f>(Subcategories!N8-MIN(Subcategories!$N$3:$N$40)+1)/(MAX(Subcategories!$N$3:$N$40)-MIN(Subcategories!$N$3:$N$40)+1)*100</f>
        <v>23.817794439554678</v>
      </c>
      <c r="O9" s="8">
        <f>(Subcategories!O8-MIN(Subcategories!$O$3:$O$40)+1)/(MAX(Subcategories!$O$3:$O$40)-MIN(Subcategories!$O$3:$O$40)+1)*100</f>
        <v>38.561564295184461</v>
      </c>
      <c r="P9" s="8">
        <f>(Subcategories!P8-MIN(Subcategories!$P$3:$P$40)+1)/(MAX(Subcategories!$P$3:$P$40)-MIN(Subcategories!$P$3:$P$40)+1)*100</f>
        <v>73.27078251022418</v>
      </c>
    </row>
    <row r="10" spans="1:16" x14ac:dyDescent="0.3">
      <c r="A10" s="6" t="str">
        <f>RawData!A9</f>
        <v>Colombia</v>
      </c>
      <c r="B10" s="8">
        <f>(Subcategories!B9-MIN(Subcategories!$B$3:$B$40)+1)/(MAX(Subcategories!$B$3:$B$40)-MIN(Subcategories!$B$3:$B$40)+1)*100</f>
        <v>20.211995627734886</v>
      </c>
      <c r="C10" s="8">
        <f>(Subcategories!C9-MIN(Subcategories!$C$3:$C$40)+1)/(MAX(Subcategories!$C$3:$C$40)-MIN(Subcategories!$C$3:$C$40)+1)*100</f>
        <v>36.784115938508684</v>
      </c>
      <c r="D10" s="8">
        <f>(Subcategories!D9-MIN(Subcategories!$D$3:$D$40)+1)/(MAX(Subcategories!$D$3:$D$40)-MIN(Subcategories!$D$3:$D$40)+1)*100</f>
        <v>75.674027987828907</v>
      </c>
      <c r="E10" s="8">
        <f>(Subcategories!E9-MIN(Subcategories!$E$3:$E$40)+1)/(MAX(Subcategories!$E$3:$E$40)-MIN(Subcategories!$E$3:$E$40)+1)*100</f>
        <v>70.699591050216625</v>
      </c>
      <c r="F10" s="8">
        <f>(Subcategories!F9-MIN(Subcategories!$F$3:$F$40)+1)/(MAX(Subcategories!$F$3:$F$40)-MIN(Subcategories!$F$3:$F$40)+1)*100</f>
        <v>86.651239577877178</v>
      </c>
      <c r="G10" s="8">
        <f>(Subcategories!G9-MIN(Subcategories!$G$3:$G$40)+1)/(MAX(Subcategories!$G$3:$G$40)-MIN(Subcategories!$G$3:$G$40)+1)*100</f>
        <v>71.282632516055244</v>
      </c>
      <c r="H10" s="8">
        <f>(Subcategories!H9-MIN(Subcategories!$H$3:$H$40)+1)/(MAX(Subcategories!$H$3:$H$40)-MIN(Subcategories!$H$3:$H$40)+1)*100</f>
        <v>53.436369440949214</v>
      </c>
      <c r="I10" s="8">
        <f>(Subcategories!I9-MIN(Subcategories!$I$3:$I$40)+1)/(MAX(Subcategories!$I$3:$I$40)-MIN(Subcategories!$I$3:$I$40)+1)*100</f>
        <v>54.27275381164327</v>
      </c>
      <c r="J10" s="8">
        <f>(Subcategories!J9-MIN(Subcategories!$J$3:$J$40)+1)/(MAX(Subcategories!$J$3:$J$40)-MIN(Subcategories!$J$3:$J$40)+1)*100</f>
        <v>74.386375828792922</v>
      </c>
      <c r="K10" s="8">
        <f>(Subcategories!K9-MIN(Subcategories!$K$3:$K$40)+1)/(MAX(Subcategories!$K$3:$K$40)-MIN(Subcategories!$K$3:$K$40)+1)*100</f>
        <v>27.847890340192428</v>
      </c>
      <c r="L10" s="8">
        <f>(Subcategories!L9-MIN(Subcategories!$L$3:$L$40)+1)/(MAX(Subcategories!$L$3:$L$40)-MIN(Subcategories!$L$3:$L$40)+1)*100</f>
        <v>46.177359144826688</v>
      </c>
      <c r="M10" s="8">
        <f>(Subcategories!M9-MIN(Subcategories!$M$3:$M$40)+1)/(MAX(Subcategories!$M$3:$M$40)-MIN(Subcategories!$M$3:$M$40)+1)*100</f>
        <v>44.395041960545875</v>
      </c>
      <c r="N10" s="8">
        <f>(Subcategories!N9-MIN(Subcategories!$N$3:$N$40)+1)/(MAX(Subcategories!$N$3:$N$40)-MIN(Subcategories!$N$3:$N$40)+1)*100</f>
        <v>54.179926429744718</v>
      </c>
      <c r="O10" s="8">
        <f>(Subcategories!O9-MIN(Subcategories!$O$3:$O$40)+1)/(MAX(Subcategories!$O$3:$O$40)-MIN(Subcategories!$O$3:$O$40)+1)*100</f>
        <v>23.686995650860705</v>
      </c>
      <c r="P10" s="8">
        <f>(Subcategories!P9-MIN(Subcategories!$P$3:$P$40)+1)/(MAX(Subcategories!$P$3:$P$40)-MIN(Subcategories!$P$3:$P$40)+1)*100</f>
        <v>64.628388365118838</v>
      </c>
    </row>
    <row r="11" spans="1:16" x14ac:dyDescent="0.3">
      <c r="A11" s="6" t="str">
        <f>RawData!A10</f>
        <v>Costa Rica</v>
      </c>
      <c r="B11" s="8">
        <f>(Subcategories!B10-MIN(Subcategories!$B$3:$B$40)+1)/(MAX(Subcategories!$B$3:$B$40)-MIN(Subcategories!$B$3:$B$40)+1)*100</f>
        <v>35.555842622401258</v>
      </c>
      <c r="C11" s="8">
        <f>(Subcategories!C10-MIN(Subcategories!$C$3:$C$40)+1)/(MAX(Subcategories!$C$3:$C$40)-MIN(Subcategories!$C$3:$C$40)+1)*100</f>
        <v>36.535365144473417</v>
      </c>
      <c r="D11" s="8">
        <f>(Subcategories!D10-MIN(Subcategories!$D$3:$D$40)+1)/(MAX(Subcategories!$D$3:$D$40)-MIN(Subcategories!$D$3:$D$40)+1)*100</f>
        <v>72.228701361008035</v>
      </c>
      <c r="E11" s="8">
        <f>(Subcategories!E10-MIN(Subcategories!$E$3:$E$40)+1)/(MAX(Subcategories!$E$3:$E$40)-MIN(Subcategories!$E$3:$E$40)+1)*100</f>
        <v>83.296740171749647</v>
      </c>
      <c r="F11" s="8">
        <f>(Subcategories!F10-MIN(Subcategories!$F$3:$F$40)+1)/(MAX(Subcategories!$F$3:$F$40)-MIN(Subcategories!$F$3:$F$40)+1)*100</f>
        <v>33.879233130700584</v>
      </c>
      <c r="G11" s="8">
        <f>(Subcategories!G10-MIN(Subcategories!$G$3:$G$40)+1)/(MAX(Subcategories!$G$3:$G$40)-MIN(Subcategories!$G$3:$G$40)+1)*100</f>
        <v>76.417117443940441</v>
      </c>
      <c r="H11" s="8">
        <f>(Subcategories!H10-MIN(Subcategories!$H$3:$H$40)+1)/(MAX(Subcategories!$H$3:$H$40)-MIN(Subcategories!$H$3:$H$40)+1)*100</f>
        <v>77.73043755871484</v>
      </c>
      <c r="I11" s="8">
        <f>(Subcategories!I10-MIN(Subcategories!$I$3:$I$40)+1)/(MAX(Subcategories!$I$3:$I$40)-MIN(Subcategories!$I$3:$I$40)+1)*100</f>
        <v>65.621514216070082</v>
      </c>
      <c r="J11" s="8">
        <f>(Subcategories!J10-MIN(Subcategories!$J$3:$J$40)+1)/(MAX(Subcategories!$J$3:$J$40)-MIN(Subcategories!$J$3:$J$40)+1)*100</f>
        <v>74.379047246519008</v>
      </c>
      <c r="K11" s="8">
        <f>(Subcategories!K10-MIN(Subcategories!$K$3:$K$40)+1)/(MAX(Subcategories!$K$3:$K$40)-MIN(Subcategories!$K$3:$K$40)+1)*100</f>
        <v>100</v>
      </c>
      <c r="L11" s="8">
        <f>(Subcategories!L10-MIN(Subcategories!$L$3:$L$40)+1)/(MAX(Subcategories!$L$3:$L$40)-MIN(Subcategories!$L$3:$L$40)+1)*100</f>
        <v>48.221925140480046</v>
      </c>
      <c r="M11" s="8">
        <f>(Subcategories!M10-MIN(Subcategories!$M$3:$M$40)+1)/(MAX(Subcategories!$M$3:$M$40)-MIN(Subcategories!$M$3:$M$40)+1)*100</f>
        <v>100</v>
      </c>
      <c r="N11" s="8">
        <f>(Subcategories!N10-MIN(Subcategories!$N$3:$N$40)+1)/(MAX(Subcategories!$N$3:$N$40)-MIN(Subcategories!$N$3:$N$40)+1)*100</f>
        <v>57.629098447305715</v>
      </c>
      <c r="O11" s="8">
        <f>(Subcategories!O10-MIN(Subcategories!$O$3:$O$40)+1)/(MAX(Subcategories!$O$3:$O$40)-MIN(Subcategories!$O$3:$O$40)+1)*100</f>
        <v>17.219791892459074</v>
      </c>
      <c r="P11" s="8">
        <f>(Subcategories!P10-MIN(Subcategories!$P$3:$P$40)+1)/(MAX(Subcategories!$P$3:$P$40)-MIN(Subcategories!$P$3:$P$40)+1)*100</f>
        <v>81.111141549015372</v>
      </c>
    </row>
    <row r="12" spans="1:16" x14ac:dyDescent="0.3">
      <c r="A12" s="6" t="str">
        <f>RawData!A11</f>
        <v>Czech Republic</v>
      </c>
      <c r="B12" s="8">
        <f>(Subcategories!B11-MIN(Subcategories!$B$3:$B$40)+1)/(MAX(Subcategories!$B$3:$B$40)-MIN(Subcategories!$B$3:$B$40)+1)*100</f>
        <v>63.174767212800717</v>
      </c>
      <c r="C12" s="8">
        <f>(Subcategories!C11-MIN(Subcategories!$C$3:$C$40)+1)/(MAX(Subcategories!$C$3:$C$40)-MIN(Subcategories!$C$3:$C$40)+1)*100</f>
        <v>45.802072722825514</v>
      </c>
      <c r="D12" s="8">
        <f>(Subcategories!D11-MIN(Subcategories!$D$3:$D$40)+1)/(MAX(Subcategories!$D$3:$D$40)-MIN(Subcategories!$D$3:$D$40)+1)*100</f>
        <v>87.965619378605965</v>
      </c>
      <c r="E12" s="8">
        <f>(Subcategories!E11-MIN(Subcategories!$E$3:$E$40)+1)/(MAX(Subcategories!$E$3:$E$40)-MIN(Subcategories!$E$3:$E$40)+1)*100</f>
        <v>85.094356100720887</v>
      </c>
      <c r="F12" s="8">
        <f>(Subcategories!F11-MIN(Subcategories!$F$3:$F$40)+1)/(MAX(Subcategories!$F$3:$F$40)-MIN(Subcategories!$F$3:$F$40)+1)*100</f>
        <v>100</v>
      </c>
      <c r="G12" s="8">
        <f>(Subcategories!G11-MIN(Subcategories!$G$3:$G$40)+1)/(MAX(Subcategories!$G$3:$G$40)-MIN(Subcategories!$G$3:$G$40)+1)*100</f>
        <v>61.101188119169905</v>
      </c>
      <c r="H12" s="8">
        <f>(Subcategories!H11-MIN(Subcategories!$H$3:$H$40)+1)/(MAX(Subcategories!$H$3:$H$40)-MIN(Subcategories!$H$3:$H$40)+1)*100</f>
        <v>45.338346735027343</v>
      </c>
      <c r="I12" s="8">
        <f>(Subcategories!I11-MIN(Subcategories!$I$3:$I$40)+1)/(MAX(Subcategories!$I$3:$I$40)-MIN(Subcategories!$I$3:$I$40)+1)*100</f>
        <v>36.802040043805015</v>
      </c>
      <c r="J12" s="8">
        <f>(Subcategories!J11-MIN(Subcategories!$J$3:$J$40)+1)/(MAX(Subcategories!$J$3:$J$40)-MIN(Subcategories!$J$3:$J$40)+1)*100</f>
        <v>74.302432212872688</v>
      </c>
      <c r="K12" s="8">
        <f>(Subcategories!K11-MIN(Subcategories!$K$3:$K$40)+1)/(MAX(Subcategories!$K$3:$K$40)-MIN(Subcategories!$K$3:$K$40)+1)*100</f>
        <v>70.441821480038811</v>
      </c>
      <c r="L12" s="8">
        <f>(Subcategories!L11-MIN(Subcategories!$L$3:$L$40)+1)/(MAX(Subcategories!$L$3:$L$40)-MIN(Subcategories!$L$3:$L$40)+1)*100</f>
        <v>100</v>
      </c>
      <c r="M12" s="8">
        <f>(Subcategories!M11-MIN(Subcategories!$M$3:$M$40)+1)/(MAX(Subcategories!$M$3:$M$40)-MIN(Subcategories!$M$3:$M$40)+1)*100</f>
        <v>82.383864481149203</v>
      </c>
      <c r="N12" s="8">
        <f>(Subcategories!N11-MIN(Subcategories!$N$3:$N$40)+1)/(MAX(Subcategories!$N$3:$N$40)-MIN(Subcategories!$N$3:$N$40)+1)*100</f>
        <v>65.63494482230854</v>
      </c>
      <c r="O12" s="8">
        <f>(Subcategories!O11-MIN(Subcategories!$O$3:$O$40)+1)/(MAX(Subcategories!$O$3:$O$40)-MIN(Subcategories!$O$3:$O$40)+1)*100</f>
        <v>78.011507221434442</v>
      </c>
      <c r="P12" s="8">
        <f>(Subcategories!P11-MIN(Subcategories!$P$3:$P$40)+1)/(MAX(Subcategories!$P$3:$P$40)-MIN(Subcategories!$P$3:$P$40)+1)*100</f>
        <v>43.849544926859238</v>
      </c>
    </row>
    <row r="13" spans="1:16" x14ac:dyDescent="0.3">
      <c r="A13" s="6" t="str">
        <f>RawData!A12</f>
        <v>Germany</v>
      </c>
      <c r="B13" s="8">
        <f>(Subcategories!B12-MIN(Subcategories!$B$3:$B$40)+1)/(MAX(Subcategories!$B$3:$B$40)-MIN(Subcategories!$B$3:$B$40)+1)*100</f>
        <v>35.376436225800802</v>
      </c>
      <c r="C13" s="8">
        <f>(Subcategories!C12-MIN(Subcategories!$C$3:$C$40)+1)/(MAX(Subcategories!$C$3:$C$40)-MIN(Subcategories!$C$3:$C$40)+1)*100</f>
        <v>54.319322897650068</v>
      </c>
      <c r="D13" s="8">
        <f>(Subcategories!D12-MIN(Subcategories!$D$3:$D$40)+1)/(MAX(Subcategories!$D$3:$D$40)-MIN(Subcategories!$D$3:$D$40)+1)*100</f>
        <v>70.134560041383139</v>
      </c>
      <c r="E13" s="8">
        <f>(Subcategories!E12-MIN(Subcategories!$E$3:$E$40)+1)/(MAX(Subcategories!$E$3:$E$40)-MIN(Subcategories!$E$3:$E$40)+1)*100</f>
        <v>69.038831366340176</v>
      </c>
      <c r="F13" s="8">
        <f>(Subcategories!F12-MIN(Subcategories!$F$3:$F$40)+1)/(MAX(Subcategories!$F$3:$F$40)-MIN(Subcategories!$F$3:$F$40)+1)*100</f>
        <v>49.154283751962311</v>
      </c>
      <c r="G13" s="8">
        <f>(Subcategories!G12-MIN(Subcategories!$G$3:$G$40)+1)/(MAX(Subcategories!$G$3:$G$40)-MIN(Subcategories!$G$3:$G$40)+1)*100</f>
        <v>54.63978043528234</v>
      </c>
      <c r="H13" s="8">
        <f>(Subcategories!H12-MIN(Subcategories!$H$3:$H$40)+1)/(MAX(Subcategories!$H$3:$H$40)-MIN(Subcategories!$H$3:$H$40)+1)*100</f>
        <v>53.436369440949214</v>
      </c>
      <c r="I13" s="8">
        <f>(Subcategories!I12-MIN(Subcategories!$I$3:$I$40)+1)/(MAX(Subcategories!$I$3:$I$40)-MIN(Subcategories!$I$3:$I$40)+1)*100</f>
        <v>60.16045193031934</v>
      </c>
      <c r="J13" s="8">
        <f>(Subcategories!J12-MIN(Subcategories!$J$3:$J$40)+1)/(MAX(Subcategories!$J$3:$J$40)-MIN(Subcategories!$J$3:$J$40)+1)*100</f>
        <v>69.686459547402819</v>
      </c>
      <c r="K13" s="8">
        <f>(Subcategories!K12-MIN(Subcategories!$K$3:$K$40)+1)/(MAX(Subcategories!$K$3:$K$40)-MIN(Subcategories!$K$3:$K$40)+1)*100</f>
        <v>70.441821480038811</v>
      </c>
      <c r="L13" s="8">
        <f>(Subcategories!L12-MIN(Subcategories!$L$3:$L$40)+1)/(MAX(Subcategories!$L$3:$L$40)-MIN(Subcategories!$L$3:$L$40)+1)*100</f>
        <v>79.090553436837851</v>
      </c>
      <c r="M13" s="8">
        <f>(Subcategories!M12-MIN(Subcategories!$M$3:$M$40)+1)/(MAX(Subcategories!$M$3:$M$40)-MIN(Subcategories!$M$3:$M$40)+1)*100</f>
        <v>97.219752098027286</v>
      </c>
      <c r="N13" s="8">
        <f>(Subcategories!N12-MIN(Subcategories!$N$3:$N$40)+1)/(MAX(Subcategories!$N$3:$N$40)-MIN(Subcategories!$N$3:$N$40)+1)*100</f>
        <v>66.306268001036187</v>
      </c>
      <c r="O13" s="8">
        <f>(Subcategories!O12-MIN(Subcategories!$O$3:$O$40)+1)/(MAX(Subcategories!$O$3:$O$40)-MIN(Subcategories!$O$3:$O$40)+1)*100</f>
        <v>76.071346093913959</v>
      </c>
      <c r="P13" s="8">
        <f>(Subcategories!P12-MIN(Subcategories!$P$3:$P$40)+1)/(MAX(Subcategories!$P$3:$P$40)-MIN(Subcategories!$P$3:$P$40)+1)*100</f>
        <v>43.849544926859238</v>
      </c>
    </row>
    <row r="14" spans="1:16" x14ac:dyDescent="0.3">
      <c r="A14" s="6" t="str">
        <f>RawData!A13</f>
        <v>Denmark</v>
      </c>
      <c r="B14" s="8">
        <f>(Subcategories!B13-MIN(Subcategories!$B$3:$B$40)+1)/(MAX(Subcategories!$B$3:$B$40)-MIN(Subcategories!$B$3:$B$40)+1)*100</f>
        <v>60.10599781386744</v>
      </c>
      <c r="C14" s="8">
        <f>(Subcategories!C13-MIN(Subcategories!$C$3:$C$40)+1)/(MAX(Subcategories!$C$3:$C$40)-MIN(Subcategories!$C$3:$C$40)+1)*100</f>
        <v>40.156257015711567</v>
      </c>
      <c r="D14" s="8">
        <f>(Subcategories!D13-MIN(Subcategories!$D$3:$D$40)+1)/(MAX(Subcategories!$D$3:$D$40)-MIN(Subcategories!$D$3:$D$40)+1)*100</f>
        <v>81.081830163084646</v>
      </c>
      <c r="E14" s="8">
        <f>(Subcategories!E13-MIN(Subcategories!$E$3:$E$40)+1)/(MAX(Subcategories!$E$3:$E$40)-MIN(Subcategories!$E$3:$E$40)+1)*100</f>
        <v>55.631633705804177</v>
      </c>
      <c r="F14" s="8">
        <f>(Subcategories!F13-MIN(Subcategories!$F$3:$F$40)+1)/(MAX(Subcategories!$F$3:$F$40)-MIN(Subcategories!$F$3:$F$40)+1)*100</f>
        <v>100</v>
      </c>
      <c r="G14" s="8">
        <f>(Subcategories!G13-MIN(Subcategories!$G$3:$G$40)+1)/(MAX(Subcategories!$G$3:$G$40)-MIN(Subcategories!$G$3:$G$40)+1)*100</f>
        <v>24.725855972839877</v>
      </c>
      <c r="H14" s="8">
        <f>(Subcategories!H13-MIN(Subcategories!$H$3:$H$40)+1)/(MAX(Subcategories!$H$3:$H$40)-MIN(Subcategories!$H$3:$H$40)+1)*100</f>
        <v>29.142301323183588</v>
      </c>
      <c r="I14" s="8">
        <f>(Subcategories!I13-MIN(Subcategories!$I$3:$I$40)+1)/(MAX(Subcategories!$I$3:$I$40)-MIN(Subcategories!$I$3:$I$40)+1)*100</f>
        <v>75.84654077604597</v>
      </c>
      <c r="J14" s="8">
        <f>(Subcategories!J13-MIN(Subcategories!$J$3:$J$40)+1)/(MAX(Subcategories!$J$3:$J$40)-MIN(Subcategories!$J$3:$J$40)+1)*100</f>
        <v>72.172970665752459</v>
      </c>
      <c r="K14" s="8">
        <f>(Subcategories!K13-MIN(Subcategories!$K$3:$K$40)+1)/(MAX(Subcategories!$K$3:$K$40)-MIN(Subcategories!$K$3:$K$40)+1)*100</f>
        <v>70.441821480038811</v>
      </c>
      <c r="L14" s="8">
        <f>(Subcategories!L13-MIN(Subcategories!$L$3:$L$40)+1)/(MAX(Subcategories!$L$3:$L$40)-MIN(Subcategories!$L$3:$L$40)+1)*100</f>
        <v>79.090553436837851</v>
      </c>
      <c r="M14" s="8">
        <f>(Subcategories!M13-MIN(Subcategories!$M$3:$M$40)+1)/(MAX(Subcategories!$M$3:$M$40)-MIN(Subcategories!$M$3:$M$40)+1)*100</f>
        <v>82.383864481149203</v>
      </c>
      <c r="N14" s="8">
        <f>(Subcategories!N13-MIN(Subcategories!$N$3:$N$40)+1)/(MAX(Subcategories!$N$3:$N$40)-MIN(Subcategories!$N$3:$N$40)+1)*100</f>
        <v>45.612235639444911</v>
      </c>
      <c r="O14" s="8">
        <f>(Subcategories!O13-MIN(Subcategories!$O$3:$O$40)+1)/(MAX(Subcategories!$O$3:$O$40)-MIN(Subcategories!$O$3:$O$40)+1)*100</f>
        <v>64.430379328791005</v>
      </c>
      <c r="P14" s="8">
        <f>(Subcategories!P13-MIN(Subcategories!$P$3:$P$40)+1)/(MAX(Subcategories!$P$3:$P$40)-MIN(Subcategories!$P$3:$P$40)+1)*100</f>
        <v>26.564756636648539</v>
      </c>
    </row>
    <row r="15" spans="1:16" x14ac:dyDescent="0.3">
      <c r="A15" s="6" t="str">
        <f>RawData!A14</f>
        <v>Estonia</v>
      </c>
      <c r="B15" s="8">
        <f>(Subcategories!B14-MIN(Subcategories!$B$3:$B$40)+1)/(MAX(Subcategories!$B$3:$B$40)-MIN(Subcategories!$B$3:$B$40)+1)*100</f>
        <v>60.10599781386744</v>
      </c>
      <c r="C15" s="8">
        <f>(Subcategories!C14-MIN(Subcategories!$C$3:$C$40)+1)/(MAX(Subcategories!$C$3:$C$40)-MIN(Subcategories!$C$3:$C$40)+1)*100</f>
        <v>100</v>
      </c>
      <c r="D15" s="8">
        <f>(Subcategories!D14-MIN(Subcategories!$D$3:$D$40)+1)/(MAX(Subcategories!$D$3:$D$40)-MIN(Subcategories!$D$3:$D$40)+1)*100</f>
        <v>94.891735469428014</v>
      </c>
      <c r="E15" s="8">
        <f>(Subcategories!E14-MIN(Subcategories!$E$3:$E$40)+1)/(MAX(Subcategories!$E$3:$E$40)-MIN(Subcategories!$E$3:$E$40)+1)*100</f>
        <v>100</v>
      </c>
      <c r="F15" s="8">
        <f>(Subcategories!F14-MIN(Subcategories!$F$3:$F$40)+1)/(MAX(Subcategories!$F$3:$F$40)-MIN(Subcategories!$F$3:$F$40)+1)*100</f>
        <v>100</v>
      </c>
      <c r="G15" s="8">
        <f>(Subcategories!G14-MIN(Subcategories!$G$3:$G$40)+1)/(MAX(Subcategories!$G$3:$G$40)-MIN(Subcategories!$G$3:$G$40)+1)*100</f>
        <v>85.607412967461073</v>
      </c>
      <c r="H15" s="8">
        <f>(Subcategories!H14-MIN(Subcategories!$H$3:$H$40)+1)/(MAX(Subcategories!$H$3:$H$40)-MIN(Subcategories!$H$3:$H$40)+1)*100</f>
        <v>33.191312676144527</v>
      </c>
      <c r="I15" s="8">
        <f>(Subcategories!I14-MIN(Subcategories!$I$3:$I$40)+1)/(MAX(Subcategories!$I$3:$I$40)-MIN(Subcategories!$I$3:$I$40)+1)*100</f>
        <v>67.973571982678223</v>
      </c>
      <c r="J15" s="8">
        <f>(Subcategories!J14-MIN(Subcategories!$J$3:$J$40)+1)/(MAX(Subcategories!$J$3:$J$40)-MIN(Subcategories!$J$3:$J$40)+1)*100</f>
        <v>98.493636096688746</v>
      </c>
      <c r="K15" s="8">
        <f>(Subcategories!K14-MIN(Subcategories!$K$3:$K$40)+1)/(MAX(Subcategories!$K$3:$K$40)-MIN(Subcategories!$K$3:$K$40)+1)*100</f>
        <v>100</v>
      </c>
      <c r="L15" s="8">
        <f>(Subcategories!L14-MIN(Subcategories!$L$3:$L$40)+1)/(MAX(Subcategories!$L$3:$L$40)-MIN(Subcategories!$L$3:$L$40)+1)*100</f>
        <v>100</v>
      </c>
      <c r="M15" s="8">
        <f>(Subcategories!M14-MIN(Subcategories!$M$3:$M$40)+1)/(MAX(Subcategories!$M$3:$M$40)-MIN(Subcategories!$M$3:$M$40)+1)*100</f>
        <v>82.383864481149203</v>
      </c>
      <c r="N15" s="8">
        <f>(Subcategories!N14-MIN(Subcategories!$N$3:$N$40)+1)/(MAX(Subcategories!$N$3:$N$40)-MIN(Subcategories!$N$3:$N$40)+1)*100</f>
        <v>91.994153624997182</v>
      </c>
      <c r="O15" s="8">
        <f>(Subcategories!O14-MIN(Subcategories!$O$3:$O$40)+1)/(MAX(Subcategories!$O$3:$O$40)-MIN(Subcategories!$O$3:$O$40)+1)*100</f>
        <v>55.376294067028716</v>
      </c>
      <c r="P15" s="8">
        <f>(Subcategories!P14-MIN(Subcategories!$P$3:$P$40)+1)/(MAX(Subcategories!$P$3:$P$40)-MIN(Subcategories!$P$3:$P$40)+1)*100</f>
        <v>63.826353310659044</v>
      </c>
    </row>
    <row r="16" spans="1:16" x14ac:dyDescent="0.3">
      <c r="A16" s="6" t="str">
        <f>RawData!A15</f>
        <v>Spain</v>
      </c>
      <c r="B16" s="8">
        <f>(Subcategories!B15-MIN(Subcategories!$B$3:$B$40)+1)/(MAX(Subcategories!$B$3:$B$40)-MIN(Subcategories!$B$3:$B$40)+1)*100</f>
        <v>50.899689617067608</v>
      </c>
      <c r="C16" s="8">
        <f>(Subcategories!C15-MIN(Subcategories!$C$3:$C$40)+1)/(MAX(Subcategories!$C$3:$C$40)-MIN(Subcategories!$C$3:$C$40)+1)*100</f>
        <v>38.57538113471783</v>
      </c>
      <c r="D16" s="8">
        <f>(Subcategories!D15-MIN(Subcategories!$D$3:$D$40)+1)/(MAX(Subcategories!$D$3:$D$40)-MIN(Subcategories!$D$3:$D$40)+1)*100</f>
        <v>57.674258300134518</v>
      </c>
      <c r="E16" s="8">
        <f>(Subcategories!E15-MIN(Subcategories!$E$3:$E$40)+1)/(MAX(Subcategories!$E$3:$E$40)-MIN(Subcategories!$E$3:$E$40)+1)*100</f>
        <v>59.98424190028463</v>
      </c>
      <c r="F16" s="8">
        <f>(Subcategories!F15-MIN(Subcategories!$F$3:$F$40)+1)/(MAX(Subcategories!$F$3:$F$40)-MIN(Subcategories!$F$3:$F$40)+1)*100</f>
        <v>100</v>
      </c>
      <c r="G16" s="8">
        <f>(Subcategories!G15-MIN(Subcategories!$G$3:$G$40)+1)/(MAX(Subcategories!$G$3:$G$40)-MIN(Subcategories!$G$3:$G$40)+1)*100</f>
        <v>47.699749959995685</v>
      </c>
      <c r="H16" s="8">
        <f>(Subcategories!H15-MIN(Subcategories!$H$3:$H$40)+1)/(MAX(Subcategories!$H$3:$H$40)-MIN(Subcategories!$H$3:$H$40)+1)*100</f>
        <v>45.338346735027343</v>
      </c>
      <c r="I16" s="8">
        <f>(Subcategories!I15-MIN(Subcategories!$I$3:$I$40)+1)/(MAX(Subcategories!$I$3:$I$40)-MIN(Subcategories!$I$3:$I$40)+1)*100</f>
        <v>60.017346914146664</v>
      </c>
      <c r="J16" s="8">
        <f>(Subcategories!J15-MIN(Subcategories!$J$3:$J$40)+1)/(MAX(Subcategories!$J$3:$J$40)-MIN(Subcategories!$J$3:$J$40)+1)*100</f>
        <v>61.370841880013195</v>
      </c>
      <c r="K16" s="8">
        <f>(Subcategories!K15-MIN(Subcategories!$K$3:$K$40)+1)/(MAX(Subcategories!$K$3:$K$40)-MIN(Subcategories!$K$3:$K$40)+1)*100</f>
        <v>27.847890340192428</v>
      </c>
      <c r="L16" s="8">
        <f>(Subcategories!L15-MIN(Subcategories!$L$3:$L$40)+1)/(MAX(Subcategories!$L$3:$L$40)-MIN(Subcategories!$L$3:$L$40)+1)*100</f>
        <v>46.177359144826688</v>
      </c>
      <c r="M16" s="8">
        <f>(Subcategories!M15-MIN(Subcategories!$M$3:$M$40)+1)/(MAX(Subcategories!$M$3:$M$40)-MIN(Subcategories!$M$3:$M$40)+1)*100</f>
        <v>79.603616579176489</v>
      </c>
      <c r="N16" s="8">
        <f>(Subcategories!N15-MIN(Subcategories!$N$3:$N$40)+1)/(MAX(Subcategories!$N$3:$N$40)-MIN(Subcategories!$N$3:$N$40)+1)*100</f>
        <v>52.468006920756082</v>
      </c>
      <c r="O16" s="8">
        <f>(Subcategories!O15-MIN(Subcategories!$O$3:$O$40)+1)/(MAX(Subcategories!$O$3:$O$40)-MIN(Subcategories!$O$3:$O$40)+1)*100</f>
        <v>76.071346093913959</v>
      </c>
      <c r="P16" s="8">
        <f>(Subcategories!P15-MIN(Subcategories!$P$3:$P$40)+1)/(MAX(Subcategories!$P$3:$P$40)-MIN(Subcategories!$P$3:$P$40)+1)*100</f>
        <v>43.849544926859238</v>
      </c>
    </row>
    <row r="17" spans="1:16" x14ac:dyDescent="0.3">
      <c r="A17" s="6" t="str">
        <f>RawData!A16</f>
        <v>Finland</v>
      </c>
      <c r="B17" s="8">
        <f>(Subcategories!B16-MIN(Subcategories!$B$3:$B$40)+1)/(MAX(Subcategories!$B$3:$B$40)-MIN(Subcategories!$B$3:$B$40)+1)*100</f>
        <v>66.243536611733987</v>
      </c>
      <c r="C17" s="8">
        <f>(Subcategories!C16-MIN(Subcategories!$C$3:$C$40)+1)/(MAX(Subcategories!$C$3:$C$40)-MIN(Subcategories!$C$3:$C$40)+1)*100</f>
        <v>41.148697282604701</v>
      </c>
      <c r="D17" s="8">
        <f>(Subcategories!D16-MIN(Subcategories!$D$3:$D$40)+1)/(MAX(Subcategories!$D$3:$D$40)-MIN(Subcategories!$D$3:$D$40)+1)*100</f>
        <v>92.163265494255697</v>
      </c>
      <c r="E17" s="8">
        <f>(Subcategories!E16-MIN(Subcategories!$E$3:$E$40)+1)/(MAX(Subcategories!$E$3:$E$40)-MIN(Subcategories!$E$3:$E$40)+1)*100</f>
        <v>48.353275306599421</v>
      </c>
      <c r="F17" s="8">
        <f>(Subcategories!F16-MIN(Subcategories!$F$3:$F$40)+1)/(MAX(Subcategories!$F$3:$F$40)-MIN(Subcategories!$F$3:$F$40)+1)*100</f>
        <v>100</v>
      </c>
      <c r="G17" s="8">
        <f>(Subcategories!G16-MIN(Subcategories!$G$3:$G$40)+1)/(MAX(Subcategories!$G$3:$G$40)-MIN(Subcategories!$G$3:$G$40)+1)*100</f>
        <v>45.278959924053311</v>
      </c>
      <c r="H17" s="8">
        <f>(Subcategories!H16-MIN(Subcategories!$H$3:$H$40)+1)/(MAX(Subcategories!$H$3:$H$40)-MIN(Subcategories!$H$3:$H$40)+1)*100</f>
        <v>27.117795646703119</v>
      </c>
      <c r="I17" s="8">
        <f>(Subcategories!I16-MIN(Subcategories!$I$3:$I$40)+1)/(MAX(Subcategories!$I$3:$I$40)-MIN(Subcategories!$I$3:$I$40)+1)*100</f>
        <v>65.277972762645391</v>
      </c>
      <c r="J17" s="8">
        <f>(Subcategories!J16-MIN(Subcategories!$J$3:$J$40)+1)/(MAX(Subcategories!$J$3:$J$40)-MIN(Subcategories!$J$3:$J$40)+1)*100</f>
        <v>65.766049794901562</v>
      </c>
      <c r="K17" s="8">
        <f>(Subcategories!K16-MIN(Subcategories!$K$3:$K$40)+1)/(MAX(Subcategories!$K$3:$K$40)-MIN(Subcategories!$K$3:$K$40)+1)*100</f>
        <v>70.441821480038811</v>
      </c>
      <c r="L17" s="8">
        <f>(Subcategories!L16-MIN(Subcategories!$L$3:$L$40)+1)/(MAX(Subcategories!$L$3:$L$40)-MIN(Subcategories!$L$3:$L$40)+1)*100</f>
        <v>63.492025870603761</v>
      </c>
      <c r="M17" s="8">
        <f>(Subcategories!M16-MIN(Subcategories!$M$3:$M$40)+1)/(MAX(Subcategories!$M$3:$M$40)-MIN(Subcategories!$M$3:$M$40)+1)*100</f>
        <v>82.383864481149203</v>
      </c>
      <c r="N17" s="8">
        <f>(Subcategories!N16-MIN(Subcategories!$N$3:$N$40)+1)/(MAX(Subcategories!$N$3:$N$40)-MIN(Subcategories!$N$3:$N$40)+1)*100</f>
        <v>68.045573516897235</v>
      </c>
      <c r="O17" s="8">
        <f>(Subcategories!O16-MIN(Subcategories!$O$3:$O$40)+1)/(MAX(Subcategories!$O$3:$O$40)-MIN(Subcategories!$O$3:$O$40)+1)*100</f>
        <v>64.430379328791005</v>
      </c>
      <c r="P17" s="8">
        <f>(Subcategories!P16-MIN(Subcategories!$P$3:$P$40)+1)/(MAX(Subcategories!$P$3:$P$40)-MIN(Subcategories!$P$3:$P$40)+1)*100</f>
        <v>35.207150781753896</v>
      </c>
    </row>
    <row r="18" spans="1:16" x14ac:dyDescent="0.3">
      <c r="A18" s="6" t="str">
        <f>RawData!A17</f>
        <v>France</v>
      </c>
      <c r="B18" s="8">
        <f>(Subcategories!B17-MIN(Subcategories!$B$3:$B$40)+1)/(MAX(Subcategories!$B$3:$B$40)-MIN(Subcategories!$B$3:$B$40)+1)*100</f>
        <v>16.744286206940277</v>
      </c>
      <c r="C18" s="8">
        <f>(Subcategories!C17-MIN(Subcategories!$C$3:$C$40)+1)/(MAX(Subcategories!$C$3:$C$40)-MIN(Subcategories!$C$3:$C$40)+1)*100</f>
        <v>50.436254923105587</v>
      </c>
      <c r="D18" s="8">
        <f>(Subcategories!D17-MIN(Subcategories!$D$3:$D$40)+1)/(MAX(Subcategories!$D$3:$D$40)-MIN(Subcategories!$D$3:$D$40)+1)*100</f>
        <v>28.76997904533652</v>
      </c>
      <c r="E18" s="8">
        <f>(Subcategories!E17-MIN(Subcategories!$E$3:$E$40)+1)/(MAX(Subcategories!$E$3:$E$40)-MIN(Subcategories!$E$3:$E$40)+1)*100</f>
        <v>38.723915983849338</v>
      </c>
      <c r="F18" s="8">
        <f>(Subcategories!F17-MIN(Subcategories!$F$3:$F$40)+1)/(MAX(Subcategories!$F$3:$F$40)-MIN(Subcategories!$F$3:$F$40)+1)*100</f>
        <v>100</v>
      </c>
      <c r="G18" s="8">
        <f>(Subcategories!G17-MIN(Subcategories!$G$3:$G$40)+1)/(MAX(Subcategories!$G$3:$G$40)-MIN(Subcategories!$G$3:$G$40)+1)*100</f>
        <v>40.04178529761041</v>
      </c>
      <c r="H18" s="8">
        <f>(Subcategories!H17-MIN(Subcategories!$H$3:$H$40)+1)/(MAX(Subcategories!$H$3:$H$40)-MIN(Subcategories!$H$3:$H$40)+1)*100</f>
        <v>49.387358087988275</v>
      </c>
      <c r="I18" s="8">
        <f>(Subcategories!I17-MIN(Subcategories!$I$3:$I$40)+1)/(MAX(Subcategories!$I$3:$I$40)-MIN(Subcategories!$I$3:$I$40)+1)*100</f>
        <v>33.158157829165916</v>
      </c>
      <c r="J18" s="8">
        <f>(Subcategories!J17-MIN(Subcategories!$J$3:$J$40)+1)/(MAX(Subcategories!$J$3:$J$40)-MIN(Subcategories!$J$3:$J$40)+1)*100</f>
        <v>51.499039364762588</v>
      </c>
      <c r="K18" s="8">
        <f>(Subcategories!K17-MIN(Subcategories!$K$3:$K$40)+1)/(MAX(Subcategories!$K$3:$K$40)-MIN(Subcategories!$K$3:$K$40)+1)*100</f>
        <v>49.144855910115623</v>
      </c>
      <c r="L18" s="8">
        <f>(Subcategories!L17-MIN(Subcategories!$L$3:$L$40)+1)/(MAX(Subcategories!$L$3:$L$40)-MIN(Subcategories!$L$3:$L$40)+1)*100</f>
        <v>48.221925140480046</v>
      </c>
      <c r="M18" s="8">
        <f>(Subcategories!M17-MIN(Subcategories!$M$3:$M$40)+1)/(MAX(Subcategories!$M$3:$M$40)-MIN(Subcategories!$M$3:$M$40)+1)*100</f>
        <v>78.016769387557929</v>
      </c>
      <c r="N18" s="8">
        <f>(Subcategories!N17-MIN(Subcategories!$N$3:$N$40)+1)/(MAX(Subcategories!$N$3:$N$40)-MIN(Subcategories!$N$3:$N$40)+1)*100</f>
        <v>60.05696689612153</v>
      </c>
      <c r="O18" s="8">
        <f>(Subcategories!O17-MIN(Subcategories!$O$3:$O$40)+1)/(MAX(Subcategories!$O$3:$O$40)-MIN(Subcategories!$O$3:$O$40)+1)*100</f>
        <v>94.179516617438537</v>
      </c>
      <c r="P18" s="8">
        <f>(Subcategories!P17-MIN(Subcategories!$P$3:$P$40)+1)/(MAX(Subcategories!$P$3:$P$40)-MIN(Subcategories!$P$3:$P$40)+1)*100</f>
        <v>26.564756636648539</v>
      </c>
    </row>
    <row r="19" spans="1:16" x14ac:dyDescent="0.3">
      <c r="A19" s="6" t="str">
        <f>RawData!A18</f>
        <v>United Kingdom</v>
      </c>
      <c r="B19" s="8">
        <f>(Subcategories!B18-MIN(Subcategories!$B$3:$B$40)+1)/(MAX(Subcategories!$B$3:$B$40)-MIN(Subcategories!$B$3:$B$40)+1)*100</f>
        <v>50.899689617067608</v>
      </c>
      <c r="C19" s="8">
        <f>(Subcategories!C18-MIN(Subcategories!$C$3:$C$40)+1)/(MAX(Subcategories!$C$3:$C$40)-MIN(Subcategories!$C$3:$C$40)+1)*100</f>
        <v>46.951108428669805</v>
      </c>
      <c r="D19" s="8">
        <f>(Subcategories!D18-MIN(Subcategories!$D$3:$D$40)+1)/(MAX(Subcategories!$D$3:$D$40)-MIN(Subcategories!$D$3:$D$40)+1)*100</f>
        <v>62.186727874457972</v>
      </c>
      <c r="E19" s="8">
        <f>(Subcategories!E18-MIN(Subcategories!$E$3:$E$40)+1)/(MAX(Subcategories!$E$3:$E$40)-MIN(Subcategories!$E$3:$E$40)+1)*100</f>
        <v>54.36962538182275</v>
      </c>
      <c r="F19" s="8">
        <f>(Subcategories!F18-MIN(Subcategories!$F$3:$F$40)+1)/(MAX(Subcategories!$F$3:$F$40)-MIN(Subcategories!$F$3:$F$40)+1)*100</f>
        <v>100</v>
      </c>
      <c r="G19" s="8">
        <f>(Subcategories!G18-MIN(Subcategories!$G$3:$G$40)+1)/(MAX(Subcategories!$G$3:$G$40)-MIN(Subcategories!$G$3:$G$40)+1)*100</f>
        <v>43.42382822496603</v>
      </c>
      <c r="H19" s="8">
        <f>(Subcategories!H18-MIN(Subcategories!$H$3:$H$40)+1)/(MAX(Subcategories!$H$3:$H$40)-MIN(Subcategories!$H$3:$H$40)+1)*100</f>
        <v>49.387358087988275</v>
      </c>
      <c r="I19" s="8">
        <f>(Subcategories!I18-MIN(Subcategories!$I$3:$I$40)+1)/(MAX(Subcategories!$I$3:$I$40)-MIN(Subcategories!$I$3:$I$40)+1)*100</f>
        <v>29.793311762031564</v>
      </c>
      <c r="J19" s="8">
        <f>(Subcategories!J18-MIN(Subcategories!$J$3:$J$40)+1)/(MAX(Subcategories!$J$3:$J$40)-MIN(Subcategories!$J$3:$J$40)+1)*100</f>
        <v>22.536072082691526</v>
      </c>
      <c r="K19" s="8">
        <f>(Subcategories!K18-MIN(Subcategories!$K$3:$K$40)+1)/(MAX(Subcategories!$K$3:$K$40)-MIN(Subcategories!$K$3:$K$40)+1)*100</f>
        <v>70.441821480038811</v>
      </c>
      <c r="L19" s="8">
        <f>(Subcategories!L18-MIN(Subcategories!$L$3:$L$40)+1)/(MAX(Subcategories!$L$3:$L$40)-MIN(Subcategories!$L$3:$L$40)+1)*100</f>
        <v>48.221925140480046</v>
      </c>
      <c r="M19" s="8">
        <f>(Subcategories!M18-MIN(Subcategories!$M$3:$M$40)+1)/(MAX(Subcategories!$M$3:$M$40)-MIN(Subcategories!$M$3:$M$40)+1)*100</f>
        <v>100</v>
      </c>
      <c r="N19" s="8">
        <f>(Subcategories!N18-MIN(Subcategories!$N$3:$N$40)+1)/(MAX(Subcategories!$N$3:$N$40)-MIN(Subcategories!$N$3:$N$40)+1)*100</f>
        <v>70.122660162841854</v>
      </c>
      <c r="O19" s="8">
        <f>(Subcategories!O18-MIN(Subcategories!$O$3:$O$40)+1)/(MAX(Subcategories!$O$3:$O$40)-MIN(Subcategories!$O$3:$O$40)+1)*100</f>
        <v>100</v>
      </c>
      <c r="P19" s="8">
        <f>(Subcategories!P18-MIN(Subcategories!$P$3:$P$40)+1)/(MAX(Subcategories!$P$3:$P$40)-MIN(Subcategories!$P$3:$P$40)+1)*100</f>
        <v>35.207150781753896</v>
      </c>
    </row>
    <row r="20" spans="1:16" x14ac:dyDescent="0.3">
      <c r="A20" s="6" t="str">
        <f>RawData!A19</f>
        <v>Greece</v>
      </c>
      <c r="B20" s="8">
        <f>(Subcategories!B19-MIN(Subcategories!$B$3:$B$40)+1)/(MAX(Subcategories!$B$3:$B$40)-MIN(Subcategories!$B$3:$B$40)+1)*100</f>
        <v>60.10599781386744</v>
      </c>
      <c r="C20" s="8">
        <f>(Subcategories!C19-MIN(Subcategories!$C$3:$C$40)+1)/(MAX(Subcategories!$C$3:$C$40)-MIN(Subcategories!$C$3:$C$40)+1)*100</f>
        <v>36.692550304760161</v>
      </c>
      <c r="D20" s="8">
        <f>(Subcategories!D19-MIN(Subcategories!$D$3:$D$40)+1)/(MAX(Subcategories!$D$3:$D$40)-MIN(Subcategories!$D$3:$D$40)+1)*100</f>
        <v>86.916207849693535</v>
      </c>
      <c r="E20" s="8">
        <f>(Subcategories!E19-MIN(Subcategories!$E$3:$E$40)+1)/(MAX(Subcategories!$E$3:$E$40)-MIN(Subcategories!$E$3:$E$40)+1)*100</f>
        <v>55.004288644139585</v>
      </c>
      <c r="F20" s="8">
        <f>(Subcategories!F19-MIN(Subcategories!$F$3:$F$40)+1)/(MAX(Subcategories!$F$3:$F$40)-MIN(Subcategories!$F$3:$F$40)+1)*100</f>
        <v>100</v>
      </c>
      <c r="G20" s="8">
        <f>(Subcategories!G19-MIN(Subcategories!$G$3:$G$40)+1)/(MAX(Subcategories!$G$3:$G$40)-MIN(Subcategories!$G$3:$G$40)+1)*100</f>
        <v>100</v>
      </c>
      <c r="H20" s="8">
        <f>(Subcategories!H19-MIN(Subcategories!$H$3:$H$40)+1)/(MAX(Subcategories!$H$3:$H$40)-MIN(Subcategories!$H$3:$H$40)+1)*100</f>
        <v>33.191312676144527</v>
      </c>
      <c r="I20" s="8">
        <f>(Subcategories!I19-MIN(Subcategories!$I$3:$I$40)+1)/(MAX(Subcategories!$I$3:$I$40)-MIN(Subcategories!$I$3:$I$40)+1)*100</f>
        <v>54.048665355304784</v>
      </c>
      <c r="J20" s="8">
        <f>(Subcategories!J19-MIN(Subcategories!$J$3:$J$40)+1)/(MAX(Subcategories!$J$3:$J$40)-MIN(Subcategories!$J$3:$J$40)+1)*100</f>
        <v>50.909195268203902</v>
      </c>
      <c r="K20" s="8">
        <f>(Subcategories!K19-MIN(Subcategories!$K$3:$K$40)+1)/(MAX(Subcategories!$K$3:$K$40)-MIN(Subcategories!$K$3:$K$40)+1)*100</f>
        <v>70.441821480038811</v>
      </c>
      <c r="L20" s="8">
        <f>(Subcategories!L19-MIN(Subcategories!$L$3:$L$40)+1)/(MAX(Subcategories!$L$3:$L$40)-MIN(Subcategories!$L$3:$L$40)+1)*100</f>
        <v>46.505785980937063</v>
      </c>
      <c r="M20" s="8">
        <f>(Subcategories!M19-MIN(Subcategories!$M$3:$M$40)+1)/(MAX(Subcategories!$M$3:$M$40)-MIN(Subcategories!$M$3:$M$40)+1)*100</f>
        <v>82.383864481149203</v>
      </c>
      <c r="N20" s="8">
        <f>(Subcategories!N19-MIN(Subcategories!$N$3:$N$40)+1)/(MAX(Subcategories!$N$3:$N$40)-MIN(Subcategories!$N$3:$N$40)+1)*100</f>
        <v>69.603388501355695</v>
      </c>
      <c r="O20" s="8">
        <f>(Subcategories!O19-MIN(Subcategories!$O$3:$O$40)+1)/(MAX(Subcategories!$O$3:$O$40)-MIN(Subcategories!$O$3:$O$40)+1)*100</f>
        <v>52.142692187827912</v>
      </c>
      <c r="P20" s="8">
        <f>(Subcategories!P19-MIN(Subcategories!$P$3:$P$40)+1)/(MAX(Subcategories!$P$3:$P$40)-MIN(Subcategories!$P$3:$P$40)+1)*100</f>
        <v>43.849544926859238</v>
      </c>
    </row>
    <row r="21" spans="1:16" x14ac:dyDescent="0.3">
      <c r="A21" s="6" t="str">
        <f>RawData!A20</f>
        <v>Hungary</v>
      </c>
      <c r="B21" s="8">
        <f>(Subcategories!B20-MIN(Subcategories!$B$3:$B$40)+1)/(MAX(Subcategories!$B$3:$B$40)-MIN(Subcategories!$B$3:$B$40)+1)*100</f>
        <v>100</v>
      </c>
      <c r="C21" s="8">
        <f>(Subcategories!C20-MIN(Subcategories!$C$3:$C$40)+1)/(MAX(Subcategories!$C$3:$C$40)-MIN(Subcategories!$C$3:$C$40)+1)*100</f>
        <v>36.230221268851487</v>
      </c>
      <c r="D21" s="8">
        <f>(Subcategories!D20-MIN(Subcategories!$D$3:$D$40)+1)/(MAX(Subcategories!$D$3:$D$40)-MIN(Subcategories!$D$3:$D$40)+1)*100</f>
        <v>68.840973530584449</v>
      </c>
      <c r="E21" s="8">
        <f>(Subcategories!E20-MIN(Subcategories!$E$3:$E$40)+1)/(MAX(Subcategories!$E$3:$E$40)-MIN(Subcategories!$E$3:$E$40)+1)*100</f>
        <v>94.710010830899378</v>
      </c>
      <c r="F21" s="8">
        <f>(Subcategories!F20-MIN(Subcategories!$F$3:$F$40)+1)/(MAX(Subcategories!$F$3:$F$40)-MIN(Subcategories!$F$3:$F$40)+1)*100</f>
        <v>100</v>
      </c>
      <c r="G21" s="8">
        <f>(Subcategories!G20-MIN(Subcategories!$G$3:$G$40)+1)/(MAX(Subcategories!$G$3:$G$40)-MIN(Subcategories!$G$3:$G$40)+1)*100</f>
        <v>76.417117443940441</v>
      </c>
      <c r="H21" s="8">
        <f>(Subcategories!H20-MIN(Subcategories!$H$3:$H$40)+1)/(MAX(Subcategories!$H$3:$H$40)-MIN(Subcategories!$H$3:$H$40)+1)*100</f>
        <v>21.04427861726171</v>
      </c>
      <c r="I21" s="8">
        <f>(Subcategories!I20-MIN(Subcategories!$I$3:$I$40)+1)/(MAX(Subcategories!$I$3:$I$40)-MIN(Subcategories!$I$3:$I$40)+1)*100</f>
        <v>47.050886328468664</v>
      </c>
      <c r="J21" s="8">
        <f>(Subcategories!J20-MIN(Subcategories!$J$3:$J$40)+1)/(MAX(Subcategories!$J$3:$J$40)-MIN(Subcategories!$J$3:$J$40)+1)*100</f>
        <v>74.373275423726639</v>
      </c>
      <c r="K21" s="8">
        <f>(Subcategories!K20-MIN(Subcategories!$K$3:$K$40)+1)/(MAX(Subcategories!$K$3:$K$40)-MIN(Subcategories!$K$3:$K$40)+1)*100</f>
        <v>70.441821480038811</v>
      </c>
      <c r="L21" s="8">
        <f>(Subcategories!L20-MIN(Subcategories!$L$3:$L$40)+1)/(MAX(Subcategories!$L$3:$L$40)-MIN(Subcategories!$L$3:$L$40)+1)*100</f>
        <v>48.221925140480046</v>
      </c>
      <c r="M21" s="8">
        <f>(Subcategories!M20-MIN(Subcategories!$M$3:$M$40)+1)/(MAX(Subcategories!$M$3:$M$40)-MIN(Subcategories!$M$3:$M$40)+1)*100</f>
        <v>100</v>
      </c>
      <c r="N21" s="8">
        <f>(Subcategories!N20-MIN(Subcategories!$N$3:$N$40)+1)/(MAX(Subcategories!$N$3:$N$40)-MIN(Subcategories!$N$3:$N$40)+1)*100</f>
        <v>100</v>
      </c>
      <c r="O21" s="8">
        <f>(Subcategories!O20-MIN(Subcategories!$O$3:$O$40)+1)/(MAX(Subcategories!$O$3:$O$40)-MIN(Subcategories!$O$3:$O$40)+1)*100</f>
        <v>68.310701583831985</v>
      </c>
      <c r="P21" s="8">
        <f>(Subcategories!P20-MIN(Subcategories!$P$3:$P$40)+1)/(MAX(Subcategories!$P$3:$P$40)-MIN(Subcategories!$P$3:$P$40)+1)*100</f>
        <v>43.849544926859238</v>
      </c>
    </row>
    <row r="22" spans="1:16" x14ac:dyDescent="0.3">
      <c r="A22" s="6" t="str">
        <f>RawData!A21</f>
        <v>Ireland</v>
      </c>
      <c r="B22" s="8">
        <f>(Subcategories!B21-MIN(Subcategories!$B$3:$B$40)+1)/(MAX(Subcategories!$B$3:$B$40)-MIN(Subcategories!$B$3:$B$40)+1)*100</f>
        <v>89.259307103733548</v>
      </c>
      <c r="C22" s="8">
        <f>(Subcategories!C21-MIN(Subcategories!$C$3:$C$40)+1)/(MAX(Subcategories!$C$3:$C$40)-MIN(Subcategories!$C$3:$C$40)+1)*100</f>
        <v>40.424527653678759</v>
      </c>
      <c r="D22" s="8">
        <f>(Subcategories!D21-MIN(Subcategories!$D$3:$D$40)+1)/(MAX(Subcategories!$D$3:$D$40)-MIN(Subcategories!$D$3:$D$40)+1)*100</f>
        <v>72.331841791314574</v>
      </c>
      <c r="E22" s="8">
        <f>(Subcategories!E21-MIN(Subcategories!$E$3:$E$40)+1)/(MAX(Subcategories!$E$3:$E$40)-MIN(Subcategories!$E$3:$E$40)+1)*100</f>
        <v>45.77767410681745</v>
      </c>
      <c r="F22" s="8">
        <f>(Subcategories!F21-MIN(Subcategories!$F$3:$F$40)+1)/(MAX(Subcategories!$F$3:$F$40)-MIN(Subcategories!$F$3:$F$40)+1)*100</f>
        <v>100</v>
      </c>
      <c r="G22" s="8">
        <f>(Subcategories!G21-MIN(Subcategories!$G$3:$G$40)+1)/(MAX(Subcategories!$G$3:$G$40)-MIN(Subcategories!$G$3:$G$40)+1)*100</f>
        <v>23.47213072282003</v>
      </c>
      <c r="H22" s="8">
        <f>(Subcategories!H21-MIN(Subcategories!$H$3:$H$40)+1)/(MAX(Subcategories!$H$3:$H$40)-MIN(Subcategories!$H$3:$H$40)+1)*100</f>
        <v>37.240324029105466</v>
      </c>
      <c r="I22" s="8">
        <f>(Subcategories!I21-MIN(Subcategories!$I$3:$I$40)+1)/(MAX(Subcategories!$I$3:$I$40)-MIN(Subcategories!$I$3:$I$40)+1)*100</f>
        <v>35.023720101299446</v>
      </c>
      <c r="J22" s="8">
        <f>(Subcategories!J21-MIN(Subcategories!$J$3:$J$40)+1)/(MAX(Subcategories!$J$3:$J$40)-MIN(Subcategories!$J$3:$J$40)+1)*100</f>
        <v>68.217440517820336</v>
      </c>
      <c r="K22" s="8">
        <f>(Subcategories!K21-MIN(Subcategories!$K$3:$K$40)+1)/(MAX(Subcategories!$K$3:$K$40)-MIN(Subcategories!$K$3:$K$40)+1)*100</f>
        <v>70.441821480038811</v>
      </c>
      <c r="L22" s="8">
        <f>(Subcategories!L21-MIN(Subcategories!$L$3:$L$40)+1)/(MAX(Subcategories!$L$3:$L$40)-MIN(Subcategories!$L$3:$L$40)+1)*100</f>
        <v>63.492025870603761</v>
      </c>
      <c r="M22" s="8">
        <f>(Subcategories!M21-MIN(Subcategories!$M$3:$M$40)+1)/(MAX(Subcategories!$M$3:$M$40)-MIN(Subcategories!$M$3:$M$40)+1)*100</f>
        <v>82.383864481149203</v>
      </c>
      <c r="N22" s="8">
        <f>(Subcategories!N21-MIN(Subcategories!$N$3:$N$40)+1)/(MAX(Subcategories!$N$3:$N$40)-MIN(Subcategories!$N$3:$N$40)+1)*100</f>
        <v>50.194242996470429</v>
      </c>
      <c r="O22" s="8">
        <f>(Subcategories!O21-MIN(Subcategories!$O$3:$O$40)+1)/(MAX(Subcategories!$O$3:$O$40)-MIN(Subcategories!$O$3:$O$40)+1)*100</f>
        <v>62.490218201270523</v>
      </c>
      <c r="P22" s="8">
        <f>(Subcategories!P21-MIN(Subcategories!$P$3:$P$40)+1)/(MAX(Subcategories!$P$3:$P$40)-MIN(Subcategories!$P$3:$P$40)+1)*100</f>
        <v>43.849544926859238</v>
      </c>
    </row>
    <row r="23" spans="1:16" x14ac:dyDescent="0.3">
      <c r="A23" s="6" t="str">
        <f>RawData!A22</f>
        <v>Israel</v>
      </c>
      <c r="B23" s="8">
        <f>(Subcategories!B22-MIN(Subcategories!$B$3:$B$40)+1)/(MAX(Subcategories!$B$3:$B$40)-MIN(Subcategories!$B$3:$B$40)+1)*100</f>
        <v>57.037228414934162</v>
      </c>
      <c r="C23" s="8">
        <f>(Subcategories!C22-MIN(Subcategories!$C$3:$C$40)+1)/(MAX(Subcategories!$C$3:$C$40)-MIN(Subcategories!$C$3:$C$40)+1)*100</f>
        <v>53.592040226865478</v>
      </c>
      <c r="D23" s="8">
        <f>(Subcategories!D22-MIN(Subcategories!$D$3:$D$40)+1)/(MAX(Subcategories!$D$3:$D$40)-MIN(Subcategories!$D$3:$D$40)+1)*100</f>
        <v>80.919709585322536</v>
      </c>
      <c r="E23" s="8">
        <f>(Subcategories!E22-MIN(Subcategories!$E$3:$E$40)+1)/(MAX(Subcategories!$E$3:$E$40)-MIN(Subcategories!$E$3:$E$40)+1)*100</f>
        <v>34.368611912809818</v>
      </c>
      <c r="F23" s="8">
        <f>(Subcategories!F22-MIN(Subcategories!$F$3:$F$40)+1)/(MAX(Subcategories!$F$3:$F$40)-MIN(Subcategories!$F$3:$F$40)+1)*100</f>
        <v>100</v>
      </c>
      <c r="G23" s="8">
        <f>(Subcategories!G22-MIN(Subcategories!$G$3:$G$40)+1)/(MAX(Subcategories!$G$3:$G$40)-MIN(Subcategories!$G$3:$G$40)+1)*100</f>
        <v>42.565265032110489</v>
      </c>
      <c r="H23" s="8">
        <f>(Subcategories!H22-MIN(Subcategories!$H$3:$H$40)+1)/(MAX(Subcategories!$H$3:$H$40)-MIN(Subcategories!$H$3:$H$40)+1)*100</f>
        <v>57.485380793910146</v>
      </c>
      <c r="I23" s="8">
        <f>(Subcategories!I22-MIN(Subcategories!$I$3:$I$40)+1)/(MAX(Subcategories!$I$3:$I$40)-MIN(Subcategories!$I$3:$I$40)+1)*100</f>
        <v>66.545837935669056</v>
      </c>
      <c r="J23" s="8">
        <f>(Subcategories!J22-MIN(Subcategories!$J$3:$J$40)+1)/(MAX(Subcategories!$J$3:$J$40)-MIN(Subcategories!$J$3:$J$40)+1)*100</f>
        <v>67.361348941086334</v>
      </c>
      <c r="K23" s="8">
        <f>(Subcategories!K22-MIN(Subcategories!$K$3:$K$40)+1)/(MAX(Subcategories!$K$3:$K$40)-MIN(Subcategories!$K$3:$K$40)+1)*100</f>
        <v>100</v>
      </c>
      <c r="L23" s="8">
        <f>(Subcategories!L22-MIN(Subcategories!$L$3:$L$40)+1)/(MAX(Subcategories!$L$3:$L$40)-MIN(Subcategories!$L$3:$L$40)+1)*100</f>
        <v>79.090553436837851</v>
      </c>
      <c r="M23" s="8">
        <f>(Subcategories!M22-MIN(Subcategories!$M$3:$M$40)+1)/(MAX(Subcategories!$M$3:$M$40)-MIN(Subcategories!$M$3:$M$40)+1)*100</f>
        <v>100</v>
      </c>
      <c r="N23" s="8">
        <f>(Subcategories!N22-MIN(Subcategories!$N$3:$N$40)+1)/(MAX(Subcategories!$N$3:$N$40)-MIN(Subcategories!$N$3:$N$40)+1)*100</f>
        <v>41.726958587622427</v>
      </c>
      <c r="O23" s="8">
        <f>(Subcategories!O22-MIN(Subcategories!$O$3:$O$40)+1)/(MAX(Subcategories!$O$3:$O$40)-MIN(Subcategories!$O$3:$O$40)+1)*100</f>
        <v>53.436132939508227</v>
      </c>
      <c r="P23" s="8">
        <f>(Subcategories!P22-MIN(Subcategories!$P$3:$P$40)+1)/(MAX(Subcategories!$P$3:$P$40)-MIN(Subcategories!$P$3:$P$40)+1)*100</f>
        <v>100</v>
      </c>
    </row>
    <row r="24" spans="1:16" x14ac:dyDescent="0.3">
      <c r="A24" s="6" t="str">
        <f>RawData!A23</f>
        <v>Iceland</v>
      </c>
      <c r="B24" s="8">
        <f>(Subcategories!B23-MIN(Subcategories!$B$3:$B$40)+1)/(MAX(Subcategories!$B$3:$B$40)-MIN(Subcategories!$B$3:$B$40)+1)*100</f>
        <v>66.243536611733987</v>
      </c>
      <c r="C24" s="8">
        <f>(Subcategories!C23-MIN(Subcategories!$C$3:$C$40)+1)/(MAX(Subcategories!$C$3:$C$40)-MIN(Subcategories!$C$3:$C$40)+1)*100</f>
        <v>45.832913709668148</v>
      </c>
      <c r="D24" s="8">
        <f>(Subcategories!D23-MIN(Subcategories!$D$3:$D$40)+1)/(MAX(Subcategories!$D$3:$D$40)-MIN(Subcategories!$D$3:$D$40)+1)*100</f>
        <v>66.275135309189153</v>
      </c>
      <c r="E24" s="8">
        <f>(Subcategories!E23-MIN(Subcategories!$E$3:$E$40)+1)/(MAX(Subcategories!$E$3:$E$40)-MIN(Subcategories!$E$3:$E$40)+1)*100</f>
        <v>61.933512740942042</v>
      </c>
      <c r="F24" s="8">
        <f>(Subcategories!F23-MIN(Subcategories!$F$3:$F$40)+1)/(MAX(Subcategories!$F$3:$F$40)-MIN(Subcategories!$F$3:$F$40)+1)*100</f>
        <v>75.263338602535882</v>
      </c>
      <c r="G24" s="8">
        <f>(Subcategories!G23-MIN(Subcategories!$G$3:$G$40)+1)/(MAX(Subcategories!$G$3:$G$40)-MIN(Subcategories!$G$3:$G$40)+1)*100</f>
        <v>63.015679284766222</v>
      </c>
      <c r="H24" s="8">
        <f>(Subcategories!H23-MIN(Subcategories!$H$3:$H$40)+1)/(MAX(Subcategories!$H$3:$H$40)-MIN(Subcategories!$H$3:$H$40)+1)*100</f>
        <v>33.191312676144527</v>
      </c>
      <c r="I24" s="8">
        <f>(Subcategories!I23-MIN(Subcategories!$I$3:$I$40)+1)/(MAX(Subcategories!$I$3:$I$40)-MIN(Subcategories!$I$3:$I$40)+1)*100</f>
        <v>64.610463860479911</v>
      </c>
      <c r="J24" s="8">
        <f>(Subcategories!J23-MIN(Subcategories!$J$3:$J$40)+1)/(MAX(Subcategories!$J$3:$J$40)-MIN(Subcategories!$J$3:$J$40)+1)*100</f>
        <v>47.841266171538322</v>
      </c>
      <c r="K24" s="8">
        <f>(Subcategories!K23-MIN(Subcategories!$K$3:$K$40)+1)/(MAX(Subcategories!$K$3:$K$40)-MIN(Subcategories!$K$3:$K$40)+1)*100</f>
        <v>70.441821480038811</v>
      </c>
      <c r="L24" s="8">
        <f>(Subcategories!L23-MIN(Subcategories!$L$3:$L$40)+1)/(MAX(Subcategories!$L$3:$L$40)-MIN(Subcategories!$L$3:$L$40)+1)*100</f>
        <v>63.820452706714136</v>
      </c>
      <c r="M24" s="8">
        <f>(Subcategories!M23-MIN(Subcategories!$M$3:$M$40)+1)/(MAX(Subcategories!$M$3:$M$40)-MIN(Subcategories!$M$3:$M$40)+1)*100</f>
        <v>100</v>
      </c>
      <c r="N24" s="8">
        <f>(Subcategories!N23-MIN(Subcategories!$N$3:$N$40)+1)/(MAX(Subcategories!$N$3:$N$40)-MIN(Subcategories!$N$3:$N$40)+1)*100</f>
        <v>59.726185264605725</v>
      </c>
      <c r="O24" s="8">
        <f>(Subcategories!O23-MIN(Subcategories!$O$3:$O$40)+1)/(MAX(Subcategories!$O$3:$O$40)-MIN(Subcategories!$O$3:$O$40)+1)*100</f>
        <v>45.028768053586106</v>
      </c>
      <c r="P24" s="8">
        <f>(Subcategories!P23-MIN(Subcategories!$P$3:$P$40)+1)/(MAX(Subcategories!$P$3:$P$40)-MIN(Subcategories!$P$3:$P$40)+1)*100</f>
        <v>46.541565020448353</v>
      </c>
    </row>
    <row r="25" spans="1:16" x14ac:dyDescent="0.3">
      <c r="A25" s="6" t="str">
        <f>RawData!A24</f>
        <v>Italy</v>
      </c>
      <c r="B25" s="8">
        <f>(Subcategories!B24-MIN(Subcategories!$B$3:$B$40)+1)/(MAX(Subcategories!$B$3:$B$40)-MIN(Subcategories!$B$3:$B$40)+1)*100</f>
        <v>42.276447606065112</v>
      </c>
      <c r="C25" s="8">
        <f>(Subcategories!C24-MIN(Subcategories!$C$3:$C$40)+1)/(MAX(Subcategories!$C$3:$C$40)-MIN(Subcategories!$C$3:$C$40)+1)*100</f>
        <v>59.694438490635328</v>
      </c>
      <c r="D25" s="8">
        <f>(Subcategories!D24-MIN(Subcategories!$D$3:$D$40)+1)/(MAX(Subcategories!$D$3:$D$40)-MIN(Subcategories!$D$3:$D$40)+1)*100</f>
        <v>62.532105104493461</v>
      </c>
      <c r="E25" s="8">
        <f>(Subcategories!E24-MIN(Subcategories!$E$3:$E$40)+1)/(MAX(Subcategories!$E$3:$E$40)-MIN(Subcategories!$E$3:$E$40)+1)*100</f>
        <v>55.491909933397054</v>
      </c>
      <c r="F25" s="8">
        <f>(Subcategories!F24-MIN(Subcategories!$F$3:$F$40)+1)/(MAX(Subcategories!$F$3:$F$40)-MIN(Subcategories!$F$3:$F$40)+1)*100</f>
        <v>100</v>
      </c>
      <c r="G25" s="8">
        <f>(Subcategories!G24-MIN(Subcategories!$G$3:$G$40)+1)/(MAX(Subcategories!$G$3:$G$40)-MIN(Subcategories!$G$3:$G$40)+1)*100</f>
        <v>55.357714622380939</v>
      </c>
      <c r="H25" s="8">
        <f>(Subcategories!H24-MIN(Subcategories!$H$3:$H$40)+1)/(MAX(Subcategories!$H$3:$H$40)-MIN(Subcategories!$H$3:$H$40)+1)*100</f>
        <v>41.289335382066398</v>
      </c>
      <c r="I25" s="8">
        <f>(Subcategories!I24-MIN(Subcategories!$I$3:$I$40)+1)/(MAX(Subcategories!$I$3:$I$40)-MIN(Subcategories!$I$3:$I$40)+1)*100</f>
        <v>24.221708101821545</v>
      </c>
      <c r="J25" s="8">
        <f>(Subcategories!J24-MIN(Subcategories!$J$3:$J$40)+1)/(MAX(Subcategories!$J$3:$J$40)-MIN(Subcategories!$J$3:$J$40)+1)*100</f>
        <v>34.743941530862351</v>
      </c>
      <c r="K25" s="8">
        <f>(Subcategories!K24-MIN(Subcategories!$K$3:$K$40)+1)/(MAX(Subcategories!$K$3:$K$40)-MIN(Subcategories!$K$3:$K$40)+1)*100</f>
        <v>49.144855910115623</v>
      </c>
      <c r="L25" s="8">
        <f>(Subcategories!L24-MIN(Subcategories!$L$3:$L$40)+1)/(MAX(Subcategories!$L$3:$L$40)-MIN(Subcategories!$L$3:$L$40)+1)*100</f>
        <v>46.177359144826688</v>
      </c>
      <c r="M25" s="8">
        <f>(Subcategories!M24-MIN(Subcategories!$M$3:$M$40)+1)/(MAX(Subcategories!$M$3:$M$40)-MIN(Subcategories!$M$3:$M$40)+1)*100</f>
        <v>79.603616579176489</v>
      </c>
      <c r="N25" s="8">
        <f>(Subcategories!N24-MIN(Subcategories!$N$3:$N$40)+1)/(MAX(Subcategories!$N$3:$N$40)-MIN(Subcategories!$N$3:$N$40)+1)*100</f>
        <v>43.235950589919113</v>
      </c>
      <c r="O25" s="8">
        <f>(Subcategories!O24-MIN(Subcategories!$O$3:$O$40)+1)/(MAX(Subcategories!$O$3:$O$40)-MIN(Subcategories!$O$3:$O$40)+1)*100</f>
        <v>81.245109100635261</v>
      </c>
      <c r="P25" s="8">
        <f>(Subcategories!P24-MIN(Subcategories!$P$3:$P$40)+1)/(MAX(Subcategories!$P$3:$P$40)-MIN(Subcategories!$P$3:$P$40)+1)*100</f>
        <v>35.207150781753896</v>
      </c>
    </row>
    <row r="26" spans="1:16" x14ac:dyDescent="0.3">
      <c r="A26" s="6" t="str">
        <f>RawData!A25</f>
        <v>Japan</v>
      </c>
      <c r="B26" s="8">
        <f>(Subcategories!B25-MIN(Subcategories!$B$3:$B$40)+1)/(MAX(Subcategories!$B$3:$B$40)-MIN(Subcategories!$B$3:$B$40)+1)*100</f>
        <v>36.353722666123893</v>
      </c>
      <c r="C26" s="8">
        <f>(Subcategories!C25-MIN(Subcategories!$C$3:$C$40)+1)/(MAX(Subcategories!$C$3:$C$40)-MIN(Subcategories!$C$3:$C$40)+1)*100</f>
        <v>39.26069174143732</v>
      </c>
      <c r="D26" s="8">
        <f>(Subcategories!D25-MIN(Subcategories!$D$3:$D$40)+1)/(MAX(Subcategories!$D$3:$D$40)-MIN(Subcategories!$D$3:$D$40)+1)*100</f>
        <v>67.352176404258941</v>
      </c>
      <c r="E26" s="8">
        <f>(Subcategories!E25-MIN(Subcategories!$E$3:$E$40)+1)/(MAX(Subcategories!$E$3:$E$40)-MIN(Subcategories!$E$3:$E$40)+1)*100</f>
        <v>51.506650925605598</v>
      </c>
      <c r="F26" s="8">
        <f>(Subcategories!F25-MIN(Subcategories!$F$3:$F$40)+1)/(MAX(Subcategories!$F$3:$F$40)-MIN(Subcategories!$F$3:$F$40)+1)*100</f>
        <v>49.154283751962311</v>
      </c>
      <c r="G26" s="8">
        <f>(Subcategories!G25-MIN(Subcategories!$G$3:$G$40)+1)/(MAX(Subcategories!$G$3:$G$40)-MIN(Subcategories!$G$3:$G$40)+1)*100</f>
        <v>66.241596898796018</v>
      </c>
      <c r="H26" s="8">
        <f>(Subcategories!H25-MIN(Subcategories!$H$3:$H$40)+1)/(MAX(Subcategories!$H$3:$H$40)-MIN(Subcategories!$H$3:$H$40)+1)*100</f>
        <v>89.877471617597664</v>
      </c>
      <c r="I26" s="8">
        <f>(Subcategories!I25-MIN(Subcategories!$I$3:$I$40)+1)/(MAX(Subcategories!$I$3:$I$40)-MIN(Subcategories!$I$3:$I$40)+1)*100</f>
        <v>59.850016942611973</v>
      </c>
      <c r="J26" s="8">
        <f>(Subcategories!J25-MIN(Subcategories!$J$3:$J$40)+1)/(MAX(Subcategories!$J$3:$J$40)-MIN(Subcategories!$J$3:$J$40)+1)*100</f>
        <v>74.264849490800358</v>
      </c>
      <c r="K26" s="8">
        <f>(Subcategories!K25-MIN(Subcategories!$K$3:$K$40)+1)/(MAX(Subcategories!$K$3:$K$40)-MIN(Subcategories!$K$3:$K$40)+1)*100</f>
        <v>70.441821480038811</v>
      </c>
      <c r="L26" s="8">
        <f>(Subcategories!L25-MIN(Subcategories!$L$3:$L$40)+1)/(MAX(Subcategories!$L$3:$L$40)-MIN(Subcategories!$L$3:$L$40)+1)*100</f>
        <v>46.505785980937063</v>
      </c>
      <c r="M26" s="8">
        <f>(Subcategories!M25-MIN(Subcategories!$M$3:$M$40)+1)/(MAX(Subcategories!$M$3:$M$40)-MIN(Subcategories!$M$3:$M$40)+1)*100</f>
        <v>75.683968783203909</v>
      </c>
      <c r="N26" s="8">
        <f>(Subcategories!N25-MIN(Subcategories!$N$3:$N$40)+1)/(MAX(Subcategories!$N$3:$N$40)-MIN(Subcategories!$N$3:$N$40)+1)*100</f>
        <v>53.217704884769354</v>
      </c>
      <c r="O26" s="8">
        <f>(Subcategories!O25-MIN(Subcategories!$O$3:$O$40)+1)/(MAX(Subcategories!$O$3:$O$40)-MIN(Subcategories!$O$3:$O$40)+1)*100</f>
        <v>66.370540456311502</v>
      </c>
      <c r="P26" s="8">
        <f>(Subcategories!P25-MIN(Subcategories!$P$3:$P$40)+1)/(MAX(Subcategories!$P$3:$P$40)-MIN(Subcategories!$P$3:$P$40)+1)*100</f>
        <v>45.195554973653792</v>
      </c>
    </row>
    <row r="27" spans="1:16" x14ac:dyDescent="0.3">
      <c r="A27" s="6" t="str">
        <f>RawData!A26</f>
        <v>Korea</v>
      </c>
      <c r="B27" s="8">
        <f>(Subcategories!B26-MIN(Subcategories!$B$3:$B$40)+1)/(MAX(Subcategories!$B$3:$B$40)-MIN(Subcategories!$B$3:$B$40)+1)*100</f>
        <v>46.603412458561024</v>
      </c>
      <c r="C27" s="8">
        <f>(Subcategories!C26-MIN(Subcategories!$C$3:$C$40)+1)/(MAX(Subcategories!$C$3:$C$40)-MIN(Subcategories!$C$3:$C$40)+1)*100</f>
        <v>51.195814574461288</v>
      </c>
      <c r="D27" s="8">
        <f>(Subcategories!D26-MIN(Subcategories!$D$3:$D$40)+1)/(MAX(Subcategories!$D$3:$D$40)-MIN(Subcategories!$D$3:$D$40)+1)*100</f>
        <v>71.350134184599995</v>
      </c>
      <c r="E27" s="8">
        <f>(Subcategories!E26-MIN(Subcategories!$E$3:$E$40)+1)/(MAX(Subcategories!$E$3:$E$40)-MIN(Subcategories!$E$3:$E$40)+1)*100</f>
        <v>35.626107213565525</v>
      </c>
      <c r="F27" s="8">
        <f>(Subcategories!F26-MIN(Subcategories!$F$3:$F$40)+1)/(MAX(Subcategories!$F$3:$F$40)-MIN(Subcategories!$F$3:$F$40)+1)*100</f>
        <v>49.154283751962311</v>
      </c>
      <c r="G27" s="8">
        <f>(Subcategories!G26-MIN(Subcategories!$G$3:$G$40)+1)/(MAX(Subcategories!$G$3:$G$40)-MIN(Subcategories!$G$3:$G$40)+1)*100</f>
        <v>59.488913918985808</v>
      </c>
      <c r="H27" s="8">
        <f>(Subcategories!H26-MIN(Subcategories!$H$3:$H$40)+1)/(MAX(Subcategories!$H$3:$H$40)-MIN(Subcategories!$H$3:$H$40)+1)*100</f>
        <v>89.877471617597664</v>
      </c>
      <c r="I27" s="8">
        <f>(Subcategories!I26-MIN(Subcategories!$I$3:$I$40)+1)/(MAX(Subcategories!$I$3:$I$40)-MIN(Subcategories!$I$3:$I$40)+1)*100</f>
        <v>65.594697218225988</v>
      </c>
      <c r="J27" s="8">
        <f>(Subcategories!J26-MIN(Subcategories!$J$3:$J$40)+1)/(MAX(Subcategories!$J$3:$J$40)-MIN(Subcategories!$J$3:$J$40)+1)*100</f>
        <v>48.026473472538363</v>
      </c>
      <c r="K27" s="8">
        <f>(Subcategories!K26-MIN(Subcategories!$K$3:$K$40)+1)/(MAX(Subcategories!$K$3:$K$40)-MIN(Subcategories!$K$3:$K$40)+1)*100</f>
        <v>70.441821480038811</v>
      </c>
      <c r="L27" s="8">
        <f>(Subcategories!L26-MIN(Subcategories!$L$3:$L$40)+1)/(MAX(Subcategories!$L$3:$L$40)-MIN(Subcategories!$L$3:$L$40)+1)*100</f>
        <v>46.177359144826688</v>
      </c>
      <c r="M27" s="8">
        <f>(Subcategories!M26-MIN(Subcategories!$M$3:$M$40)+1)/(MAX(Subcategories!$M$3:$M$40)-MIN(Subcategories!$M$3:$M$40)+1)*100</f>
        <v>58.067833264353105</v>
      </c>
      <c r="N27" s="8">
        <f>(Subcategories!N26-MIN(Subcategories!$N$3:$N$40)+1)/(MAX(Subcategories!$N$3:$N$40)-MIN(Subcategories!$N$3:$N$40)+1)*100</f>
        <v>49.597919072719186</v>
      </c>
      <c r="O27" s="8">
        <f>(Subcategories!O26-MIN(Subcategories!$O$3:$O$40)+1)/(MAX(Subcategories!$O$3:$O$40)-MIN(Subcategories!$O$3:$O$40)+1)*100</f>
        <v>76.718066469754106</v>
      </c>
      <c r="P27" s="8">
        <f>(Subcategories!P26-MIN(Subcategories!$P$3:$P$40)+1)/(MAX(Subcategories!$P$3:$P$40)-MIN(Subcategories!$P$3:$P$40)+1)*100</f>
        <v>45.195554973653792</v>
      </c>
    </row>
    <row r="28" spans="1:16" x14ac:dyDescent="0.3">
      <c r="A28" s="6" t="str">
        <f>RawData!A27</f>
        <v>Lithuania</v>
      </c>
      <c r="B28" s="8">
        <f>(Subcategories!B27-MIN(Subcategories!$B$3:$B$40)+1)/(MAX(Subcategories!$B$3:$B$40)-MIN(Subcategories!$B$3:$B$40)+1)*100</f>
        <v>78.518614207467081</v>
      </c>
      <c r="C28" s="8">
        <f>(Subcategories!C27-MIN(Subcategories!$C$3:$C$40)+1)/(MAX(Subcategories!$C$3:$C$40)-MIN(Subcategories!$C$3:$C$40)+1)*100</f>
        <v>64.737839387249934</v>
      </c>
      <c r="D28" s="8">
        <f>(Subcategories!D27-MIN(Subcategories!$D$3:$D$40)+1)/(MAX(Subcategories!$D$3:$D$40)-MIN(Subcategories!$D$3:$D$40)+1)*100</f>
        <v>71.912077179749616</v>
      </c>
      <c r="E28" s="8">
        <f>(Subcategories!E27-MIN(Subcategories!$E$3:$E$40)+1)/(MAX(Subcategories!$E$3:$E$40)-MIN(Subcategories!$E$3:$E$40)+1)*100</f>
        <v>71.674739376364343</v>
      </c>
      <c r="F28" s="8">
        <f>(Subcategories!F27-MIN(Subcategories!$F$3:$F$40)+1)/(MAX(Subcategories!$F$3:$F$40)-MIN(Subcategories!$F$3:$F$40)+1)*100</f>
        <v>100</v>
      </c>
      <c r="G28" s="8">
        <f>(Subcategories!G27-MIN(Subcategories!$G$3:$G$40)+1)/(MAX(Subcategories!$G$3:$G$40)-MIN(Subcategories!$G$3:$G$40)+1)*100</f>
        <v>71.979146543844053</v>
      </c>
      <c r="H28" s="8">
        <f>(Subcategories!H27-MIN(Subcategories!$H$3:$H$40)+1)/(MAX(Subcategories!$H$3:$H$40)-MIN(Subcategories!$H$3:$H$40)+1)*100</f>
        <v>45.338346735027343</v>
      </c>
      <c r="I28" s="8">
        <f>(Subcategories!I27-MIN(Subcategories!$I$3:$I$40)+1)/(MAX(Subcategories!$I$3:$I$40)-MIN(Subcategories!$I$3:$I$40)+1)*100</f>
        <v>50.52878976784487</v>
      </c>
      <c r="J28" s="8">
        <f>(Subcategories!J27-MIN(Subcategories!$J$3:$J$40)+1)/(MAX(Subcategories!$J$3:$J$40)-MIN(Subcategories!$J$3:$J$40)+1)*100</f>
        <v>68.467703810403975</v>
      </c>
      <c r="K28" s="8">
        <f>(Subcategories!K27-MIN(Subcategories!$K$3:$K$40)+1)/(MAX(Subcategories!$K$3:$K$40)-MIN(Subcategories!$K$3:$K$40)+1)*100</f>
        <v>70.441821480038811</v>
      </c>
      <c r="L28" s="8">
        <f>(Subcategories!L27-MIN(Subcategories!$L$3:$L$40)+1)/(MAX(Subcategories!$L$3:$L$40)-MIN(Subcategories!$L$3:$L$40)+1)*100</f>
        <v>100</v>
      </c>
      <c r="M28" s="8">
        <f>(Subcategories!M27-MIN(Subcategories!$M$3:$M$40)+1)/(MAX(Subcategories!$M$3:$M$40)-MIN(Subcategories!$M$3:$M$40)+1)*100</f>
        <v>82.383864481149203</v>
      </c>
      <c r="N28" s="8">
        <f>(Subcategories!N27-MIN(Subcategories!$N$3:$N$40)+1)/(MAX(Subcategories!$N$3:$N$40)-MIN(Subcategories!$N$3:$N$40)+1)*100</f>
        <v>72.307143094943214</v>
      </c>
      <c r="O28" s="8">
        <f>(Subcategories!O27-MIN(Subcategories!$O$3:$O$40)+1)/(MAX(Subcategories!$O$3:$O$40)-MIN(Subcategories!$O$3:$O$40)+1)*100</f>
        <v>52.142692187827912</v>
      </c>
      <c r="P28" s="8">
        <f>(Subcategories!P27-MIN(Subcategories!$P$3:$P$40)+1)/(MAX(Subcategories!$P$3:$P$40)-MIN(Subcategories!$P$3:$P$40)+1)*100</f>
        <v>63.826353310659044</v>
      </c>
    </row>
    <row r="29" spans="1:16" x14ac:dyDescent="0.3">
      <c r="A29" s="6" t="str">
        <f>RawData!A28</f>
        <v>Luxembourg</v>
      </c>
      <c r="B29" s="8">
        <f>(Subcategories!B28-MIN(Subcategories!$B$3:$B$40)+1)/(MAX(Subcategories!$B$3:$B$40)-MIN(Subcategories!$B$3:$B$40)+1)*100</f>
        <v>54.367399037862221</v>
      </c>
      <c r="C29" s="8">
        <f>(Subcategories!C28-MIN(Subcategories!$C$3:$C$40)+1)/(MAX(Subcategories!$C$3:$C$40)-MIN(Subcategories!$C$3:$C$40)+1)*100</f>
        <v>50.859554360387563</v>
      </c>
      <c r="D29" s="8">
        <f>(Subcategories!D28-MIN(Subcategories!$D$3:$D$40)+1)/(MAX(Subcategories!$D$3:$D$40)-MIN(Subcategories!$D$3:$D$40)+1)*100</f>
        <v>68.34634605593989</v>
      </c>
      <c r="E29" s="8">
        <f>(Subcategories!E28-MIN(Subcategories!$E$3:$E$40)+1)/(MAX(Subcategories!$E$3:$E$40)-MIN(Subcategories!$E$3:$E$40)+1)*100</f>
        <v>56.988743643829878</v>
      </c>
      <c r="F29" s="8">
        <f>(Subcategories!F28-MIN(Subcategories!$F$3:$F$40)+1)/(MAX(Subcategories!$F$3:$F$40)-MIN(Subcategories!$F$3:$F$40)+1)*100</f>
        <v>49.154283751962311</v>
      </c>
      <c r="G29" s="8">
        <f>(Subcategories!G28-MIN(Subcategories!$G$3:$G$40)+1)/(MAX(Subcategories!$G$3:$G$40)-MIN(Subcategories!$G$3:$G$40)+1)*100</f>
        <v>83.569648230767385</v>
      </c>
      <c r="H29" s="8">
        <f>(Subcategories!H28-MIN(Subcategories!$H$3:$H$40)+1)/(MAX(Subcategories!$H$3:$H$40)-MIN(Subcategories!$H$3:$H$40)+1)*100</f>
        <v>61.534392146871085</v>
      </c>
      <c r="I29" s="8">
        <f>(Subcategories!I28-MIN(Subcategories!$I$3:$I$40)+1)/(MAX(Subcategories!$I$3:$I$40)-MIN(Subcategories!$I$3:$I$40)+1)*100</f>
        <v>82.217733415196406</v>
      </c>
      <c r="J29" s="8">
        <f>(Subcategories!J28-MIN(Subcategories!$J$3:$J$40)+1)/(MAX(Subcategories!$J$3:$J$40)-MIN(Subcategories!$J$3:$J$40)+1)*100</f>
        <v>73.308082321980947</v>
      </c>
      <c r="K29" s="8">
        <f>(Subcategories!K28-MIN(Subcategories!$K$3:$K$40)+1)/(MAX(Subcategories!$K$3:$K$40)-MIN(Subcategories!$K$3:$K$40)+1)*100</f>
        <v>70.441821480038811</v>
      </c>
      <c r="L29" s="8">
        <f>(Subcategories!L28-MIN(Subcategories!$L$3:$L$40)+1)/(MAX(Subcategories!$L$3:$L$40)-MIN(Subcategories!$L$3:$L$40)+1)*100</f>
        <v>63.820452706714136</v>
      </c>
      <c r="M29" s="8">
        <f>(Subcategories!M28-MIN(Subcategories!$M$3:$M$40)+1)/(MAX(Subcategories!$M$3:$M$40)-MIN(Subcategories!$M$3:$M$40)+1)*100</f>
        <v>100</v>
      </c>
      <c r="N29" s="8">
        <f>(Subcategories!N28-MIN(Subcategories!$N$3:$N$40)+1)/(MAX(Subcategories!$N$3:$N$40)-MIN(Subcategories!$N$3:$N$40)+1)*100</f>
        <v>88.042949700177132</v>
      </c>
      <c r="O29" s="8">
        <f>(Subcategories!O28-MIN(Subcategories!$O$3:$O$40)+1)/(MAX(Subcategories!$O$3:$O$40)-MIN(Subcategories!$O$3:$O$40)+1)*100</f>
        <v>70.897583087192643</v>
      </c>
      <c r="P29" s="8">
        <f>(Subcategories!P28-MIN(Subcategories!$P$3:$P$40)+1)/(MAX(Subcategories!$P$3:$P$40)-MIN(Subcategories!$P$3:$P$40)+1)*100</f>
        <v>43.849544926859238</v>
      </c>
    </row>
    <row r="30" spans="1:16" x14ac:dyDescent="0.3">
      <c r="A30" s="6" t="str">
        <f>RawData!A29</f>
        <v>Latvia</v>
      </c>
      <c r="B30" s="8">
        <f>(Subcategories!B29-MIN(Subcategories!$B$3:$B$40)+1)/(MAX(Subcategories!$B$3:$B$40)-MIN(Subcategories!$B$3:$B$40)+1)*100</f>
        <v>66.243536611733987</v>
      </c>
      <c r="C30" s="8">
        <f>(Subcategories!C29-MIN(Subcategories!$C$3:$C$40)+1)/(MAX(Subcategories!$C$3:$C$40)-MIN(Subcategories!$C$3:$C$40)+1)*100</f>
        <v>100</v>
      </c>
      <c r="D30" s="8">
        <f>(Subcategories!D29-MIN(Subcategories!$D$3:$D$40)+1)/(MAX(Subcategories!$D$3:$D$40)-MIN(Subcategories!$D$3:$D$40)+1)*100</f>
        <v>100</v>
      </c>
      <c r="E30" s="8">
        <f>(Subcategories!E29-MIN(Subcategories!$E$3:$E$40)+1)/(MAX(Subcategories!$E$3:$E$40)-MIN(Subcategories!$E$3:$E$40)+1)*100</f>
        <v>72.08148926351538</v>
      </c>
      <c r="F30" s="8">
        <f>(Subcategories!F29-MIN(Subcategories!$F$3:$F$40)+1)/(MAX(Subcategories!$F$3:$F$40)-MIN(Subcategories!$F$3:$F$40)+1)*100</f>
        <v>100</v>
      </c>
      <c r="G30" s="8">
        <f>(Subcategories!G29-MIN(Subcategories!$G$3:$G$40)+1)/(MAX(Subcategories!$G$3:$G$40)-MIN(Subcategories!$G$3:$G$40)+1)*100</f>
        <v>79.838050797335768</v>
      </c>
      <c r="H30" s="8">
        <f>(Subcategories!H29-MIN(Subcategories!$H$3:$H$40)+1)/(MAX(Subcategories!$H$3:$H$40)-MIN(Subcategories!$H$3:$H$40)+1)*100</f>
        <v>45.338346735027343</v>
      </c>
      <c r="I30" s="8">
        <f>(Subcategories!I29-MIN(Subcategories!$I$3:$I$40)+1)/(MAX(Subcategories!$I$3:$I$40)-MIN(Subcategories!$I$3:$I$40)+1)*100</f>
        <v>54.982180896982371</v>
      </c>
      <c r="J30" s="8">
        <f>(Subcategories!J29-MIN(Subcategories!$J$3:$J$40)+1)/(MAX(Subcategories!$J$3:$J$40)-MIN(Subcategories!$J$3:$J$40)+1)*100</f>
        <v>65.411045089846013</v>
      </c>
      <c r="K30" s="8">
        <f>(Subcategories!K29-MIN(Subcategories!$K$3:$K$40)+1)/(MAX(Subcategories!$K$3:$K$40)-MIN(Subcategories!$K$3:$K$40)+1)*100</f>
        <v>100</v>
      </c>
      <c r="L30" s="8">
        <f>(Subcategories!L29-MIN(Subcategories!$L$3:$L$40)+1)/(MAX(Subcategories!$L$3:$L$40)-MIN(Subcategories!$L$3:$L$40)+1)*100</f>
        <v>79.090553436837851</v>
      </c>
      <c r="M30" s="8">
        <f>(Subcategories!M29-MIN(Subcategories!$M$3:$M$40)+1)/(MAX(Subcategories!$M$3:$M$40)-MIN(Subcategories!$M$3:$M$40)+1)*100</f>
        <v>82.383864481149203</v>
      </c>
      <c r="N30" s="8">
        <f>(Subcategories!N29-MIN(Subcategories!$N$3:$N$40)+1)/(MAX(Subcategories!$N$3:$N$40)-MIN(Subcategories!$N$3:$N$40)+1)*100</f>
        <v>100</v>
      </c>
      <c r="O30" s="8">
        <f>(Subcategories!O29-MIN(Subcategories!$O$3:$O$40)+1)/(MAX(Subcategories!$O$3:$O$40)-MIN(Subcategories!$O$3:$O$40)+1)*100</f>
        <v>55.376294067028716</v>
      </c>
      <c r="P30" s="8">
        <f>(Subcategories!P29-MIN(Subcategories!$P$3:$P$40)+1)/(MAX(Subcategories!$P$3:$P$40)-MIN(Subcategories!$P$3:$P$40)+1)*100</f>
        <v>63.826353310659044</v>
      </c>
    </row>
    <row r="31" spans="1:16" x14ac:dyDescent="0.3">
      <c r="A31" s="6" t="str">
        <f>RawData!A30</f>
        <v>Mexico</v>
      </c>
      <c r="B31" s="8">
        <f>(Subcategories!B30-MIN(Subcategories!$B$3:$B$40)+1)/(MAX(Subcategories!$B$3:$B$40)-MIN(Subcategories!$B$3:$B$40)+1)*100</f>
        <v>35.555842622401258</v>
      </c>
      <c r="C31" s="8">
        <f>(Subcategories!C30-MIN(Subcategories!$C$3:$C$40)+1)/(MAX(Subcategories!$C$3:$C$40)-MIN(Subcategories!$C$3:$C$40)+1)*100</f>
        <v>43.285639794848798</v>
      </c>
      <c r="D31" s="8">
        <f>(Subcategories!D30-MIN(Subcategories!$D$3:$D$40)+1)/(MAX(Subcategories!$D$3:$D$40)-MIN(Subcategories!$D$3:$D$40)+1)*100</f>
        <v>95.287817888104996</v>
      </c>
      <c r="E31" s="8">
        <f>(Subcategories!E30-MIN(Subcategories!$E$3:$E$40)+1)/(MAX(Subcategories!$E$3:$E$40)-MIN(Subcategories!$E$3:$E$40)+1)*100</f>
        <v>57.208370790833975</v>
      </c>
      <c r="F31" s="8">
        <f>(Subcategories!F30-MIN(Subcategories!$F$3:$F$40)+1)/(MAX(Subcategories!$F$3:$F$40)-MIN(Subcategories!$F$3:$F$40)+1)*100</f>
        <v>80.171252847403352</v>
      </c>
      <c r="G31" s="8">
        <f>(Subcategories!G30-MIN(Subcategories!$G$3:$G$40)+1)/(MAX(Subcategories!$G$3:$G$40)-MIN(Subcategories!$G$3:$G$40)+1)*100</f>
        <v>78.654594950214175</v>
      </c>
      <c r="H31" s="8">
        <f>(Subcategories!H30-MIN(Subcategories!$H$3:$H$40)+1)/(MAX(Subcategories!$H$3:$H$40)-MIN(Subcategories!$H$3:$H$40)+1)*100</f>
        <v>65.583403499832031</v>
      </c>
      <c r="I31" s="8">
        <f>(Subcategories!I30-MIN(Subcategories!$I$3:$I$40)+1)/(MAX(Subcategories!$I$3:$I$40)-MIN(Subcategories!$I$3:$I$40)+1)*100</f>
        <v>50.799588371150683</v>
      </c>
      <c r="J31" s="8">
        <f>(Subcategories!J30-MIN(Subcategories!$J$3:$J$40)+1)/(MAX(Subcategories!$J$3:$J$40)-MIN(Subcategories!$J$3:$J$40)+1)*100</f>
        <v>74.260525643200054</v>
      </c>
      <c r="K31" s="8">
        <f>(Subcategories!K30-MIN(Subcategories!$K$3:$K$40)+1)/(MAX(Subcategories!$K$3:$K$40)-MIN(Subcategories!$K$3:$K$40)+1)*100</f>
        <v>100</v>
      </c>
      <c r="L31" s="8">
        <f>(Subcategories!L30-MIN(Subcategories!$L$3:$L$40)+1)/(MAX(Subcategories!$L$3:$L$40)-MIN(Subcategories!$L$3:$L$40)+1)*100</f>
        <v>79.090553436837851</v>
      </c>
      <c r="M31" s="8">
        <f>(Subcategories!M30-MIN(Subcategories!$M$3:$M$40)+1)/(MAX(Subcategories!$M$3:$M$40)-MIN(Subcategories!$M$3:$M$40)+1)*100</f>
        <v>44.395041960545875</v>
      </c>
      <c r="N31" s="8">
        <f>(Subcategories!N30-MIN(Subcategories!$N$3:$N$40)+1)/(MAX(Subcategories!$N$3:$N$40)-MIN(Subcategories!$N$3:$N$40)+1)*100</f>
        <v>39.74328841842469</v>
      </c>
      <c r="O31" s="8">
        <f>(Subcategories!O30-MIN(Subcategories!$O$3:$O$40)+1)/(MAX(Subcategories!$O$3:$O$40)-MIN(Subcategories!$O$3:$O$40)+1)*100</f>
        <v>53.436132939508227</v>
      </c>
      <c r="P31" s="8">
        <f>(Subcategories!P30-MIN(Subcategories!$P$3:$P$40)+1)/(MAX(Subcategories!$P$3:$P$40)-MIN(Subcategories!$P$3:$P$40)+1)*100</f>
        <v>46.541565020448353</v>
      </c>
    </row>
    <row r="32" spans="1:16" x14ac:dyDescent="0.3">
      <c r="A32" s="6" t="str">
        <f>RawData!A31</f>
        <v>Netherlands</v>
      </c>
      <c r="B32" s="8">
        <f>(Subcategories!B31-MIN(Subcategories!$B$3:$B$40)+1)/(MAX(Subcategories!$B$3:$B$40)-MIN(Subcategories!$B$3:$B$40)+1)*100</f>
        <v>48.444674097920995</v>
      </c>
      <c r="C32" s="8">
        <f>(Subcategories!C31-MIN(Subcategories!$C$3:$C$40)+1)/(MAX(Subcategories!$C$3:$C$40)-MIN(Subcategories!$C$3:$C$40)+1)*100</f>
        <v>48.794900276916529</v>
      </c>
      <c r="D32" s="8">
        <f>(Subcategories!D31-MIN(Subcategories!$D$3:$D$40)+1)/(MAX(Subcategories!$D$3:$D$40)-MIN(Subcategories!$D$3:$D$40)+1)*100</f>
        <v>74.151719890223788</v>
      </c>
      <c r="E32" s="8">
        <f>(Subcategories!E31-MIN(Subcategories!$E$3:$E$40)+1)/(MAX(Subcategories!$E$3:$E$40)-MIN(Subcategories!$E$3:$E$40)+1)*100</f>
        <v>48.373490461830229</v>
      </c>
      <c r="F32" s="8">
        <f>(Subcategories!F31-MIN(Subcategories!$F$3:$F$40)+1)/(MAX(Subcategories!$F$3:$F$40)-MIN(Subcategories!$F$3:$F$40)+1)*100</f>
        <v>100</v>
      </c>
      <c r="G32" s="8">
        <f>(Subcategories!G31-MIN(Subcategories!$G$3:$G$40)+1)/(MAX(Subcategories!$G$3:$G$40)-MIN(Subcategories!$G$3:$G$40)+1)*100</f>
        <v>41.347287894302973</v>
      </c>
      <c r="H32" s="8">
        <f>(Subcategories!H31-MIN(Subcategories!$H$3:$H$40)+1)/(MAX(Subcategories!$H$3:$H$40)-MIN(Subcategories!$H$3:$H$40)+1)*100</f>
        <v>45.338346735027343</v>
      </c>
      <c r="I32" s="8">
        <f>(Subcategories!I31-MIN(Subcategories!$I$3:$I$40)+1)/(MAX(Subcategories!$I$3:$I$40)-MIN(Subcategories!$I$3:$I$40)+1)*100</f>
        <v>63.593493795066038</v>
      </c>
      <c r="J32" s="8">
        <f>(Subcategories!J31-MIN(Subcategories!$J$3:$J$40)+1)/(MAX(Subcategories!$J$3:$J$40)-MIN(Subcategories!$J$3:$J$40)+1)*100</f>
        <v>63.933910623123325</v>
      </c>
      <c r="K32" s="8">
        <f>(Subcategories!K31-MIN(Subcategories!$K$3:$K$40)+1)/(MAX(Subcategories!$K$3:$K$40)-MIN(Subcategories!$K$3:$K$40)+1)*100</f>
        <v>70.441821480038811</v>
      </c>
      <c r="L32" s="8">
        <f>(Subcategories!L31-MIN(Subcategories!$L$3:$L$40)+1)/(MAX(Subcategories!$L$3:$L$40)-MIN(Subcategories!$L$3:$L$40)+1)*100</f>
        <v>63.820452706714136</v>
      </c>
      <c r="M32" s="8">
        <f>(Subcategories!M31-MIN(Subcategories!$M$3:$M$40)+1)/(MAX(Subcategories!$M$3:$M$40)-MIN(Subcategories!$M$3:$M$40)+1)*100</f>
        <v>100</v>
      </c>
      <c r="N32" s="8">
        <f>(Subcategories!N31-MIN(Subcategories!$N$3:$N$40)+1)/(MAX(Subcategories!$N$3:$N$40)-MIN(Subcategories!$N$3:$N$40)+1)*100</f>
        <v>88.042949700177132</v>
      </c>
      <c r="O32" s="8">
        <f>(Subcategories!O31-MIN(Subcategories!$O$3:$O$40)+1)/(MAX(Subcategories!$O$3:$O$40)-MIN(Subcategories!$O$3:$O$40)+1)*100</f>
        <v>77.364786845594281</v>
      </c>
      <c r="P32" s="8">
        <f>(Subcategories!P31-MIN(Subcategories!$P$3:$P$40)+1)/(MAX(Subcategories!$P$3:$P$40)-MIN(Subcategories!$P$3:$P$40)+1)*100</f>
        <v>43.849544926859238</v>
      </c>
    </row>
    <row r="33" spans="1:16" x14ac:dyDescent="0.3">
      <c r="A33" s="6" t="str">
        <f>RawData!A32</f>
        <v>Norway</v>
      </c>
      <c r="B33" s="8">
        <f>(Subcategories!B32-MIN(Subcategories!$B$3:$B$40)+1)/(MAX(Subcategories!$B$3:$B$40)-MIN(Subcategories!$B$3:$B$40)+1)*100</f>
        <v>60.10599781386744</v>
      </c>
      <c r="C33" s="8">
        <f>(Subcategories!C32-MIN(Subcategories!$C$3:$C$40)+1)/(MAX(Subcategories!$C$3:$C$40)-MIN(Subcategories!$C$3:$C$40)+1)*100</f>
        <v>39.960744040339584</v>
      </c>
      <c r="D33" s="8">
        <f>(Subcategories!D32-MIN(Subcategories!$D$3:$D$40)+1)/(MAX(Subcategories!$D$3:$D$40)-MIN(Subcategories!$D$3:$D$40)+1)*100</f>
        <v>87.335972461258507</v>
      </c>
      <c r="E33" s="8">
        <f>(Subcategories!E32-MIN(Subcategories!$E$3:$E$40)+1)/(MAX(Subcategories!$E$3:$E$40)-MIN(Subcategories!$E$3:$E$40)+1)*100</f>
        <v>61.851293513791475</v>
      </c>
      <c r="F33" s="8">
        <f>(Subcategories!F32-MIN(Subcategories!$F$3:$F$40)+1)/(MAX(Subcategories!$F$3:$F$40)-MIN(Subcategories!$F$3:$F$40)+1)*100</f>
        <v>100</v>
      </c>
      <c r="G33" s="8">
        <f>(Subcategories!G32-MIN(Subcategories!$G$3:$G$40)+1)/(MAX(Subcategories!$G$3:$G$40)-MIN(Subcategories!$G$3:$G$40)+1)*100</f>
        <v>32.725642988921322</v>
      </c>
      <c r="H33" s="8">
        <f>(Subcategories!H32-MIN(Subcategories!$H$3:$H$40)+1)/(MAX(Subcategories!$H$3:$H$40)-MIN(Subcategories!$H$3:$H$40)+1)*100</f>
        <v>29.142301323183588</v>
      </c>
      <c r="I33" s="8">
        <f>(Subcategories!I32-MIN(Subcategories!$I$3:$I$40)+1)/(MAX(Subcategories!$I$3:$I$40)-MIN(Subcategories!$I$3:$I$40)+1)*100</f>
        <v>70.584244931938272</v>
      </c>
      <c r="J33" s="8">
        <f>(Subcategories!J32-MIN(Subcategories!$J$3:$J$40)+1)/(MAX(Subcategories!$J$3:$J$40)-MIN(Subcategories!$J$3:$J$40)+1)*100</f>
        <v>73.960989040426242</v>
      </c>
      <c r="K33" s="8">
        <f>(Subcategories!K32-MIN(Subcategories!$K$3:$K$40)+1)/(MAX(Subcategories!$K$3:$K$40)-MIN(Subcategories!$K$3:$K$40)+1)*100</f>
        <v>57.406068860153589</v>
      </c>
      <c r="L33" s="8">
        <f>(Subcategories!L32-MIN(Subcategories!$L$3:$L$40)+1)/(MAX(Subcategories!$L$3:$L$40)-MIN(Subcategories!$L$3:$L$40)+1)*100</f>
        <v>79.090553436837851</v>
      </c>
      <c r="M33" s="8">
        <f>(Subcategories!M32-MIN(Subcategories!$M$3:$M$40)+1)/(MAX(Subcategories!$M$3:$M$40)-MIN(Subcategories!$M$3:$M$40)+1)*100</f>
        <v>81.395793107802106</v>
      </c>
      <c r="N33" s="8">
        <f>(Subcategories!N32-MIN(Subcategories!$N$3:$N$40)+1)/(MAX(Subcategories!$N$3:$N$40)-MIN(Subcategories!$N$3:$N$40)+1)*100</f>
        <v>80.071582833628568</v>
      </c>
      <c r="O33" s="8">
        <f>(Subcategories!O32-MIN(Subcategories!$O$3:$O$40)+1)/(MAX(Subcategories!$O$3:$O$40)-MIN(Subcategories!$O$3:$O$40)+1)*100</f>
        <v>68.310701583831985</v>
      </c>
      <c r="P33" s="8">
        <f>(Subcategories!P32-MIN(Subcategories!$P$3:$P$40)+1)/(MAX(Subcategories!$P$3:$P$40)-MIN(Subcategories!$P$3:$P$40)+1)*100</f>
        <v>35.207150781753896</v>
      </c>
    </row>
    <row r="34" spans="1:16" x14ac:dyDescent="0.3">
      <c r="A34" s="6" t="str">
        <f>RawData!A33</f>
        <v>New Zealand</v>
      </c>
      <c r="B34" s="8">
        <f>(Subcategories!B33-MIN(Subcategories!$B$3:$B$40)+1)/(MAX(Subcategories!$B$3:$B$40)-MIN(Subcategories!$B$3:$B$40)+1)*100</f>
        <v>41.693381420267791</v>
      </c>
      <c r="C34" s="8">
        <f>(Subcategories!C33-MIN(Subcategories!$C$3:$C$40)+1)/(MAX(Subcategories!$C$3:$C$40)-MIN(Subcategories!$C$3:$C$40)+1)*100</f>
        <v>36.610814448457461</v>
      </c>
      <c r="D34" s="8">
        <f>(Subcategories!D33-MIN(Subcategories!$D$3:$D$40)+1)/(MAX(Subcategories!$D$3:$D$40)-MIN(Subcategories!$D$3:$D$40)+1)*100</f>
        <v>78.82875139729947</v>
      </c>
      <c r="E34" s="8">
        <f>(Subcategories!E33-MIN(Subcategories!$E$3:$E$40)+1)/(MAX(Subcategories!$E$3:$E$40)-MIN(Subcategories!$E$3:$E$40)+1)*100</f>
        <v>60.388350254293577</v>
      </c>
      <c r="F34" s="8">
        <f>(Subcategories!F33-MIN(Subcategories!$F$3:$F$40)+1)/(MAX(Subcategories!$F$3:$F$40)-MIN(Subcategories!$F$3:$F$40)+1)*100</f>
        <v>100</v>
      </c>
      <c r="G34" s="8">
        <f>(Subcategories!G33-MIN(Subcategories!$G$3:$G$40)+1)/(MAX(Subcategories!$G$3:$G$40)-MIN(Subcategories!$G$3:$G$40)+1)*100</f>
        <v>89.445780753370002</v>
      </c>
      <c r="H34" s="8">
        <f>(Subcategories!H33-MIN(Subcategories!$H$3:$H$40)+1)/(MAX(Subcategories!$H$3:$H$40)-MIN(Subcategories!$H$3:$H$40)+1)*100</f>
        <v>69.632414852792962</v>
      </c>
      <c r="I34" s="8">
        <f>(Subcategories!I33-MIN(Subcategories!$I$3:$I$40)+1)/(MAX(Subcategories!$I$3:$I$40)-MIN(Subcategories!$I$3:$I$40)+1)*100</f>
        <v>100</v>
      </c>
      <c r="J34" s="8">
        <f>(Subcategories!J33-MIN(Subcategories!$J$3:$J$40)+1)/(MAX(Subcategories!$J$3:$J$40)-MIN(Subcategories!$J$3:$J$40)+1)*100</f>
        <v>56.130520218453952</v>
      </c>
      <c r="K34" s="8">
        <f>(Subcategories!K33-MIN(Subcategories!$K$3:$K$40)+1)/(MAX(Subcategories!$K$3:$K$40)-MIN(Subcategories!$K$3:$K$40)+1)*100</f>
        <v>100</v>
      </c>
      <c r="L34" s="8">
        <f>(Subcategories!L33-MIN(Subcategories!$L$3:$L$40)+1)/(MAX(Subcategories!$L$3:$L$40)-MIN(Subcategories!$L$3:$L$40)+1)*100</f>
        <v>100</v>
      </c>
      <c r="M34" s="8">
        <f>(Subcategories!M33-MIN(Subcategories!$M$3:$M$40)+1)/(MAX(Subcategories!$M$3:$M$40)-MIN(Subcategories!$M$3:$M$40)+1)*100</f>
        <v>100</v>
      </c>
      <c r="N34" s="8">
        <f>(Subcategories!N33-MIN(Subcategories!$N$3:$N$40)+1)/(MAX(Subcategories!$N$3:$N$40)-MIN(Subcategories!$N$3:$N$40)+1)*100</f>
        <v>53.677894522485694</v>
      </c>
      <c r="O34" s="8">
        <f>(Subcategories!O33-MIN(Subcategories!$O$3:$O$40)+1)/(MAX(Subcategories!$O$3:$O$40)-MIN(Subcategories!$O$3:$O$40)+1)*100</f>
        <v>41.148445798545126</v>
      </c>
      <c r="P34" s="8">
        <f>(Subcategories!P33-MIN(Subcategories!$P$3:$P$40)+1)/(MAX(Subcategories!$P$3:$P$40)-MIN(Subcategories!$P$3:$P$40)+1)*100</f>
        <v>61.936368271529709</v>
      </c>
    </row>
    <row r="35" spans="1:16" x14ac:dyDescent="0.3">
      <c r="A35" s="6" t="str">
        <f>RawData!A34</f>
        <v>Poland</v>
      </c>
      <c r="B35" s="8">
        <f>(Subcategories!B34-MIN(Subcategories!$B$3:$B$40)+1)/(MAX(Subcategories!$B$3:$B$40)-MIN(Subcategories!$B$3:$B$40)+1)*100</f>
        <v>69.312306010667271</v>
      </c>
      <c r="C35" s="8">
        <f>(Subcategories!C34-MIN(Subcategories!$C$3:$C$40)+1)/(MAX(Subcategories!$C$3:$C$40)-MIN(Subcategories!$C$3:$C$40)+1)*100</f>
        <v>51.386475947132446</v>
      </c>
      <c r="D35" s="8">
        <f>(Subcategories!D34-MIN(Subcategories!$D$3:$D$40)+1)/(MAX(Subcategories!$D$3:$D$40)-MIN(Subcategories!$D$3:$D$40)+1)*100</f>
        <v>56.624846771222082</v>
      </c>
      <c r="E35" s="8">
        <f>(Subcategories!E34-MIN(Subcategories!$E$3:$E$40)+1)/(MAX(Subcategories!$E$3:$E$40)-MIN(Subcategories!$E$3:$E$40)+1)*100</f>
        <v>66.377675273656749</v>
      </c>
      <c r="F35" s="8">
        <f>(Subcategories!F34-MIN(Subcategories!$F$3:$F$40)+1)/(MAX(Subcategories!$F$3:$F$40)-MIN(Subcategories!$F$3:$F$40)+1)*100</f>
        <v>31.62723015443985</v>
      </c>
      <c r="G35" s="8">
        <f>(Subcategories!G34-MIN(Subcategories!$G$3:$G$40)+1)/(MAX(Subcategories!$G$3:$G$40)-MIN(Subcategories!$G$3:$G$40)+1)*100</f>
        <v>68.759152781555173</v>
      </c>
      <c r="H35" s="8">
        <f>(Subcategories!H34-MIN(Subcategories!$H$3:$H$40)+1)/(MAX(Subcategories!$H$3:$H$40)-MIN(Subcategories!$H$3:$H$40)+1)*100</f>
        <v>37.240324029105466</v>
      </c>
      <c r="I35" s="8">
        <f>(Subcategories!I34-MIN(Subcategories!$I$3:$I$40)+1)/(MAX(Subcategories!$I$3:$I$40)-MIN(Subcategories!$I$3:$I$40)+1)*100</f>
        <v>36.30514860317848</v>
      </c>
      <c r="J35" s="8">
        <f>(Subcategories!J34-MIN(Subcategories!$J$3:$J$40)+1)/(MAX(Subcategories!$J$3:$J$40)-MIN(Subcategories!$J$3:$J$40)+1)*100</f>
        <v>69.451803198431648</v>
      </c>
      <c r="K35" s="8">
        <f>(Subcategories!K34-MIN(Subcategories!$K$3:$K$40)+1)/(MAX(Subcategories!$K$3:$K$40)-MIN(Subcategories!$K$3:$K$40)+1)*100</f>
        <v>70.441821480038811</v>
      </c>
      <c r="L35" s="8">
        <f>(Subcategories!L34-MIN(Subcategories!$L$3:$L$40)+1)/(MAX(Subcategories!$L$3:$L$40)-MIN(Subcategories!$L$3:$L$40)+1)*100</f>
        <v>30.907258414702969</v>
      </c>
      <c r="M35" s="8">
        <f>(Subcategories!M34-MIN(Subcategories!$M$3:$M$40)+1)/(MAX(Subcategories!$M$3:$M$40)-MIN(Subcategories!$M$3:$M$40)+1)*100</f>
        <v>59.714618886598267</v>
      </c>
      <c r="N35" s="8">
        <f>(Subcategories!N34-MIN(Subcategories!$N$3:$N$40)+1)/(MAX(Subcategories!$N$3:$N$40)-MIN(Subcategories!$N$3:$N$40)+1)*100</f>
        <v>54.97706311639957</v>
      </c>
      <c r="O35" s="8">
        <f>(Subcategories!O34-MIN(Subcategories!$O$3:$O$40)+1)/(MAX(Subcategories!$O$3:$O$40)-MIN(Subcategories!$O$3:$O$40)+1)*100</f>
        <v>71.544303463032804</v>
      </c>
      <c r="P35" s="8">
        <f>(Subcategories!P34-MIN(Subcategories!$P$3:$P$40)+1)/(MAX(Subcategories!$P$3:$P$40)-MIN(Subcategories!$P$3:$P$40)+1)*100</f>
        <v>35.207150781753896</v>
      </c>
    </row>
    <row r="36" spans="1:16" x14ac:dyDescent="0.3">
      <c r="A36" s="6" t="str">
        <f>RawData!A35</f>
        <v>Portugal</v>
      </c>
      <c r="B36" s="8">
        <f>(Subcategories!B35-MIN(Subcategories!$B$3:$B$40)+1)/(MAX(Subcategories!$B$3:$B$40)-MIN(Subcategories!$B$3:$B$40)+1)*100</f>
        <v>34.021457922934616</v>
      </c>
      <c r="C36" s="8">
        <f>(Subcategories!C35-MIN(Subcategories!$C$3:$C$40)+1)/(MAX(Subcategories!$C$3:$C$40)-MIN(Subcategories!$C$3:$C$40)+1)*100</f>
        <v>55.663100594935912</v>
      </c>
      <c r="D36" s="8">
        <f>(Subcategories!D35-MIN(Subcategories!$D$3:$D$40)+1)/(MAX(Subcategories!$D$3:$D$40)-MIN(Subcategories!$D$3:$D$40)+1)*100</f>
        <v>43.524110063905688</v>
      </c>
      <c r="E36" s="8">
        <f>(Subcategories!E35-MIN(Subcategories!$E$3:$E$40)+1)/(MAX(Subcategories!$E$3:$E$40)-MIN(Subcategories!$E$3:$E$40)+1)*100</f>
        <v>39.557156621528136</v>
      </c>
      <c r="F36" s="8">
        <f>(Subcategories!F35-MIN(Subcategories!$F$3:$F$40)+1)/(MAX(Subcategories!$F$3:$F$40)-MIN(Subcategories!$F$3:$F$40)+1)*100</f>
        <v>100</v>
      </c>
      <c r="G36" s="8">
        <f>(Subcategories!G35-MIN(Subcategories!$G$3:$G$40)+1)/(MAX(Subcategories!$G$3:$G$40)-MIN(Subcategories!$G$3:$G$40)+1)*100</f>
        <v>58.984523403350252</v>
      </c>
      <c r="H36" s="8">
        <f>(Subcategories!H35-MIN(Subcategories!$H$3:$H$40)+1)/(MAX(Subcategories!$H$3:$H$40)-MIN(Subcategories!$H$3:$H$40)+1)*100</f>
        <v>37.240324029105466</v>
      </c>
      <c r="I36" s="8">
        <f>(Subcategories!I35-MIN(Subcategories!$I$3:$I$40)+1)/(MAX(Subcategories!$I$3:$I$40)-MIN(Subcategories!$I$3:$I$40)+1)*100</f>
        <v>64.034021785913311</v>
      </c>
      <c r="J36" s="8">
        <f>(Subcategories!J35-MIN(Subcategories!$J$3:$J$40)+1)/(MAX(Subcategories!$J$3:$J$40)-MIN(Subcategories!$J$3:$J$40)+1)*100</f>
        <v>65.434054793259406</v>
      </c>
      <c r="K36" s="8">
        <f>(Subcategories!K35-MIN(Subcategories!$K$3:$K$40)+1)/(MAX(Subcategories!$K$3:$K$40)-MIN(Subcategories!$K$3:$K$40)+1)*100</f>
        <v>70.441821480038811</v>
      </c>
      <c r="L36" s="8">
        <f>(Subcategories!L35-MIN(Subcategories!$L$3:$L$40)+1)/(MAX(Subcategories!$L$3:$L$40)-MIN(Subcategories!$L$3:$L$40)+1)*100</f>
        <v>63.820452706714136</v>
      </c>
      <c r="M36" s="8">
        <f>(Subcategories!M35-MIN(Subcategories!$M$3:$M$40)+1)/(MAX(Subcategories!$M$3:$M$40)-MIN(Subcategories!$M$3:$M$40)+1)*100</f>
        <v>82.383864481149203</v>
      </c>
      <c r="N36" s="8">
        <f>(Subcategories!N35-MIN(Subcategories!$N$3:$N$40)+1)/(MAX(Subcategories!$N$3:$N$40)-MIN(Subcategories!$N$3:$N$40)+1)*100</f>
        <v>42.724908037180896</v>
      </c>
      <c r="O36" s="8">
        <f>(Subcategories!O35-MIN(Subcategories!$O$3:$O$40)+1)/(MAX(Subcategories!$O$3:$O$40)-MIN(Subcategories!$O$3:$O$40)+1)*100</f>
        <v>65.077099704631181</v>
      </c>
      <c r="P36" s="8">
        <f>(Subcategories!P35-MIN(Subcategories!$P$3:$P$40)+1)/(MAX(Subcategories!$P$3:$P$40)-MIN(Subcategories!$P$3:$P$40)+1)*100</f>
        <v>35.207150781753896</v>
      </c>
    </row>
    <row r="37" spans="1:16" x14ac:dyDescent="0.3">
      <c r="A37" s="6" t="str">
        <f>RawData!A36</f>
        <v>Sweden</v>
      </c>
      <c r="B37" s="8">
        <f>(Subcategories!B36-MIN(Subcategories!$B$3:$B$40)+1)/(MAX(Subcategories!$B$3:$B$40)-MIN(Subcategories!$B$3:$B$40)+1)*100</f>
        <v>64.40227497237403</v>
      </c>
      <c r="C37" s="8">
        <f>(Subcategories!C36-MIN(Subcategories!$C$3:$C$40)+1)/(MAX(Subcategories!$C$3:$C$40)-MIN(Subcategories!$C$3:$C$40)+1)*100</f>
        <v>47.437572398418311</v>
      </c>
      <c r="D37" s="8">
        <f>(Subcategories!D36-MIN(Subcategories!$D$3:$D$40)+1)/(MAX(Subcategories!$D$3:$D$40)-MIN(Subcategories!$D$3:$D$40)+1)*100</f>
        <v>91.953383188473197</v>
      </c>
      <c r="E37" s="8">
        <f>(Subcategories!E36-MIN(Subcategories!$E$3:$E$40)+1)/(MAX(Subcategories!$E$3:$E$40)-MIN(Subcategories!$E$3:$E$40)+1)*100</f>
        <v>59.744313272322181</v>
      </c>
      <c r="F37" s="8">
        <f>(Subcategories!F36-MIN(Subcategories!$F$3:$F$40)+1)/(MAX(Subcategories!$F$3:$F$40)-MIN(Subcategories!$F$3:$F$40)+1)*100</f>
        <v>99.670895973396711</v>
      </c>
      <c r="G37" s="8">
        <f>(Subcategories!G36-MIN(Subcategories!$G$3:$G$40)+1)/(MAX(Subcategories!$G$3:$G$40)-MIN(Subcategories!$G$3:$G$40)+1)*100</f>
        <v>47.699749959995685</v>
      </c>
      <c r="H37" s="8">
        <f>(Subcategories!H36-MIN(Subcategories!$H$3:$H$40)+1)/(MAX(Subcategories!$H$3:$H$40)-MIN(Subcategories!$H$3:$H$40)+1)*100</f>
        <v>29.142301323183588</v>
      </c>
      <c r="I37" s="8">
        <f>(Subcategories!I36-MIN(Subcategories!$I$3:$I$40)+1)/(MAX(Subcategories!$I$3:$I$40)-MIN(Subcategories!$I$3:$I$40)+1)*100</f>
        <v>69.161196623866118</v>
      </c>
      <c r="J37" s="8">
        <f>(Subcategories!J36-MIN(Subcategories!$J$3:$J$40)+1)/(MAX(Subcategories!$J$3:$J$40)-MIN(Subcategories!$J$3:$J$40)+1)*100</f>
        <v>73.676994970311057</v>
      </c>
      <c r="K37" s="8">
        <f>(Subcategories!K36-MIN(Subcategories!$K$3:$K$40)+1)/(MAX(Subcategories!$K$3:$K$40)-MIN(Subcategories!$K$3:$K$40)+1)*100</f>
        <v>100</v>
      </c>
      <c r="L37" s="8">
        <f>(Subcategories!L36-MIN(Subcategories!$L$3:$L$40)+1)/(MAX(Subcategories!$L$3:$L$40)-MIN(Subcategories!$L$3:$L$40)+1)*100</f>
        <v>63.820452706714136</v>
      </c>
      <c r="M37" s="8">
        <f>(Subcategories!M36-MIN(Subcategories!$M$3:$M$40)+1)/(MAX(Subcategories!$M$3:$M$40)-MIN(Subcategories!$M$3:$M$40)+1)*100</f>
        <v>100</v>
      </c>
      <c r="N37" s="8">
        <f>(Subcategories!N36-MIN(Subcategories!$N$3:$N$40)+1)/(MAX(Subcategories!$N$3:$N$40)-MIN(Subcategories!$N$3:$N$40)+1)*100</f>
        <v>76.085899400354293</v>
      </c>
      <c r="O37" s="8">
        <f>(Subcategories!O36-MIN(Subcategories!$O$3:$O$40)+1)/(MAX(Subcategories!$O$3:$O$40)-MIN(Subcategories!$O$3:$O$40)+1)*100</f>
        <v>68.310701583831985</v>
      </c>
      <c r="P37" s="8">
        <f>(Subcategories!P36-MIN(Subcategories!$P$3:$P$40)+1)/(MAX(Subcategories!$P$3:$P$40)-MIN(Subcategories!$P$3:$P$40)+1)*100</f>
        <v>26.564756636648539</v>
      </c>
    </row>
    <row r="38" spans="1:16" x14ac:dyDescent="0.3">
      <c r="A38" s="6" t="str">
        <f>RawData!A37</f>
        <v>Slovenia</v>
      </c>
      <c r="B38" s="8">
        <f>(Subcategories!B37-MIN(Subcategories!$B$3:$B$40)+1)/(MAX(Subcategories!$B$3:$B$40)-MIN(Subcategories!$B$3:$B$40)+1)*100</f>
        <v>60.10599781386744</v>
      </c>
      <c r="C38" s="8">
        <f>(Subcategories!C37-MIN(Subcategories!$C$3:$C$40)+1)/(MAX(Subcategories!$C$3:$C$40)-MIN(Subcategories!$C$3:$C$40)+1)*100</f>
        <v>40.512256192471533</v>
      </c>
      <c r="D38" s="8">
        <f>(Subcategories!D37-MIN(Subcategories!$D$3:$D$40)+1)/(MAX(Subcategories!$D$3:$D$40)-MIN(Subcategories!$D$3:$D$40)+1)*100</f>
        <v>86.86934053047176</v>
      </c>
      <c r="E38" s="8">
        <f>(Subcategories!E37-MIN(Subcategories!$E$3:$E$40)+1)/(MAX(Subcategories!$E$3:$E$40)-MIN(Subcategories!$E$3:$E$40)+1)*100</f>
        <v>48.903710396245472</v>
      </c>
      <c r="F38" s="8">
        <f>(Subcategories!F37-MIN(Subcategories!$F$3:$F$40)+1)/(MAX(Subcategories!$F$3:$F$40)-MIN(Subcategories!$F$3:$F$40)+1)*100</f>
        <v>100</v>
      </c>
      <c r="G38" s="8">
        <f>(Subcategories!G37-MIN(Subcategories!$G$3:$G$40)+1)/(MAX(Subcategories!$G$3:$G$40)-MIN(Subcategories!$G$3:$G$40)+1)*100</f>
        <v>79.462060288459227</v>
      </c>
      <c r="H38" s="8">
        <f>(Subcategories!H37-MIN(Subcategories!$H$3:$H$40)+1)/(MAX(Subcategories!$H$3:$H$40)-MIN(Subcategories!$H$3:$H$40)+1)*100</f>
        <v>41.289335382066398</v>
      </c>
      <c r="I38" s="8">
        <f>(Subcategories!I37-MIN(Subcategories!$I$3:$I$40)+1)/(MAX(Subcategories!$I$3:$I$40)-MIN(Subcategories!$I$3:$I$40)+1)*100</f>
        <v>46.757567541785335</v>
      </c>
      <c r="J38" s="8">
        <f>(Subcategories!J37-MIN(Subcategories!$J$3:$J$40)+1)/(MAX(Subcategories!$J$3:$J$40)-MIN(Subcategories!$J$3:$J$40)+1)*100</f>
        <v>41.319909837877283</v>
      </c>
      <c r="K38" s="8">
        <f>(Subcategories!K37-MIN(Subcategories!$K$3:$K$40)+1)/(MAX(Subcategories!$K$3:$K$40)-MIN(Subcategories!$K$3:$K$40)+1)*100</f>
        <v>70.441821480038811</v>
      </c>
      <c r="L38" s="8">
        <f>(Subcategories!L37-MIN(Subcategories!$L$3:$L$40)+1)/(MAX(Subcategories!$L$3:$L$40)-MIN(Subcategories!$L$3:$L$40)+1)*100</f>
        <v>79.090553436837851</v>
      </c>
      <c r="M38" s="8">
        <f>(Subcategories!M37-MIN(Subcategories!$M$3:$M$40)+1)/(MAX(Subcategories!$M$3:$M$40)-MIN(Subcategories!$M$3:$M$40)+1)*100</f>
        <v>68.835724921764793</v>
      </c>
      <c r="N38" s="8">
        <f>(Subcategories!N37-MIN(Subcategories!$N$3:$N$40)+1)/(MAX(Subcategories!$N$3:$N$40)-MIN(Subcategories!$N$3:$N$40)+1)*100</f>
        <v>65.63494482230854</v>
      </c>
      <c r="O38" s="8">
        <f>(Subcategories!O37-MIN(Subcategories!$O$3:$O$40)+1)/(MAX(Subcategories!$O$3:$O$40)-MIN(Subcategories!$O$3:$O$40)+1)*100</f>
        <v>53.436132939508227</v>
      </c>
      <c r="P38" s="8">
        <f>(Subcategories!P37-MIN(Subcategories!$P$3:$P$40)+1)/(MAX(Subcategories!$P$3:$P$40)-MIN(Subcategories!$P$3:$P$40)+1)*100</f>
        <v>61.936368271529709</v>
      </c>
    </row>
    <row r="39" spans="1:16" x14ac:dyDescent="0.3">
      <c r="A39" s="6" t="str">
        <f>RawData!A38</f>
        <v>Slovak Republic</v>
      </c>
      <c r="B39" s="8">
        <f>(Subcategories!B38-MIN(Subcategories!$B$3:$B$40)+1)/(MAX(Subcategories!$B$3:$B$40)-MIN(Subcategories!$B$3:$B$40)+1)*100</f>
        <v>53.968459016000892</v>
      </c>
      <c r="C39" s="8">
        <f>(Subcategories!C38-MIN(Subcategories!$C$3:$C$40)+1)/(MAX(Subcategories!$C$3:$C$40)-MIN(Subcategories!$C$3:$C$40)+1)*100</f>
        <v>45.916901264180574</v>
      </c>
      <c r="D39" s="8">
        <f>(Subcategories!D38-MIN(Subcategories!$D$3:$D$40)+1)/(MAX(Subcategories!$D$3:$D$40)-MIN(Subcategories!$D$3:$D$40)+1)*100</f>
        <v>66.42804614932561</v>
      </c>
      <c r="E39" s="8">
        <f>(Subcategories!E38-MIN(Subcategories!$E$3:$E$40)+1)/(MAX(Subcategories!$E$3:$E$40)-MIN(Subcategories!$E$3:$E$40)+1)*100</f>
        <v>83.40322130768881</v>
      </c>
      <c r="F39" s="8">
        <f>(Subcategories!F38-MIN(Subcategories!$F$3:$F$40)+1)/(MAX(Subcategories!$F$3:$F$40)-MIN(Subcategories!$F$3:$F$40)+1)*100</f>
        <v>100</v>
      </c>
      <c r="G39" s="8">
        <f>(Subcategories!G38-MIN(Subcategories!$G$3:$G$40)+1)/(MAX(Subcategories!$G$3:$G$40)-MIN(Subcategories!$G$3:$G$40)+1)*100</f>
        <v>97.946206028845921</v>
      </c>
      <c r="H39" s="8">
        <f>(Subcategories!H38-MIN(Subcategories!$H$3:$H$40)+1)/(MAX(Subcategories!$H$3:$H$40)-MIN(Subcategories!$H$3:$H$40)+1)*100</f>
        <v>37.240324029105466</v>
      </c>
      <c r="I39" s="8">
        <f>(Subcategories!I38-MIN(Subcategories!$I$3:$I$40)+1)/(MAX(Subcategories!$I$3:$I$40)-MIN(Subcategories!$I$3:$I$40)+1)*100</f>
        <v>40.897431615762123</v>
      </c>
      <c r="J39" s="8">
        <f>(Subcategories!J38-MIN(Subcategories!$J$3:$J$40)+1)/(MAX(Subcategories!$J$3:$J$40)-MIN(Subcategories!$J$3:$J$40)+1)*100</f>
        <v>68.055133127000701</v>
      </c>
      <c r="K39" s="8">
        <f>(Subcategories!K38-MIN(Subcategories!$K$3:$K$40)+1)/(MAX(Subcategories!$K$3:$K$40)-MIN(Subcategories!$K$3:$K$40)+1)*100</f>
        <v>100</v>
      </c>
      <c r="L39" s="8">
        <f>(Subcategories!L38-MIN(Subcategories!$L$3:$L$40)+1)/(MAX(Subcategories!$L$3:$L$40)-MIN(Subcategories!$L$3:$L$40)+1)*100</f>
        <v>69.131371703642202</v>
      </c>
      <c r="M39" s="8">
        <f>(Subcategories!M38-MIN(Subcategories!$M$3:$M$40)+1)/(MAX(Subcategories!$M$3:$M$40)-MIN(Subcategories!$M$3:$M$40)+1)*100</f>
        <v>82.383864481149203</v>
      </c>
      <c r="N39" s="8">
        <f>(Subcategories!N38-MIN(Subcategories!$N$3:$N$40)+1)/(MAX(Subcategories!$N$3:$N$40)-MIN(Subcategories!$N$3:$N$40)+1)*100</f>
        <v>43.716743121779778</v>
      </c>
      <c r="O39" s="8">
        <f>(Subcategories!O38-MIN(Subcategories!$O$3:$O$40)+1)/(MAX(Subcategories!$O$3:$O$40)-MIN(Subcategories!$O$3:$O$40)+1)*100</f>
        <v>63.136938577110676</v>
      </c>
      <c r="P39" s="8">
        <f>(Subcategories!P38-MIN(Subcategories!$P$3:$P$40)+1)/(MAX(Subcategories!$P$3:$P$40)-MIN(Subcategories!$P$3:$P$40)+1)*100</f>
        <v>55.183959165553695</v>
      </c>
    </row>
    <row r="40" spans="1:16" x14ac:dyDescent="0.3">
      <c r="A40" s="6" t="str">
        <f>RawData!A39</f>
        <v>Turkey</v>
      </c>
      <c r="B40" s="8">
        <f>(Subcategories!B39-MIN(Subcategories!$B$3:$B$40)+1)/(MAX(Subcategories!$B$3:$B$40)-MIN(Subcategories!$B$3:$B$40)+1)*100</f>
        <v>50.899689617067608</v>
      </c>
      <c r="C40" s="8">
        <f>(Subcategories!C39-MIN(Subcategories!$C$3:$C$40)+1)/(MAX(Subcategories!$C$3:$C$40)-MIN(Subcategories!$C$3:$C$40)+1)*100</f>
        <v>50.226867769376881</v>
      </c>
      <c r="D40" s="8">
        <f>(Subcategories!D39-MIN(Subcategories!$D$3:$D$40)+1)/(MAX(Subcategories!$D$3:$D$40)-MIN(Subcategories!$D$3:$D$40)+1)*100</f>
        <v>71.177815062005948</v>
      </c>
      <c r="E40" s="8">
        <f>(Subcategories!E39-MIN(Subcategories!$E$3:$E$40)+1)/(MAX(Subcategories!$E$3:$E$40)-MIN(Subcategories!$E$3:$E$40)+1)*100</f>
        <v>68.204100138313109</v>
      </c>
      <c r="F40" s="8">
        <f>(Subcategories!F39-MIN(Subcategories!$F$3:$F$40)+1)/(MAX(Subcategories!$F$3:$F$40)-MIN(Subcategories!$F$3:$F$40)+1)*100</f>
        <v>100</v>
      </c>
      <c r="G40" s="8">
        <f>(Subcategories!G39-MIN(Subcategories!$G$3:$G$40)+1)/(MAX(Subcategories!$G$3:$G$40)-MIN(Subcategories!$G$3:$G$40)+1)*100</f>
        <v>84.596545216344424</v>
      </c>
      <c r="H40" s="8">
        <f>(Subcategories!H39-MIN(Subcategories!$H$3:$H$40)+1)/(MAX(Subcategories!$H$3:$H$40)-MIN(Subcategories!$H$3:$H$40)+1)*100</f>
        <v>49.387358087988275</v>
      </c>
      <c r="I40" s="8">
        <f>(Subcategories!I39-MIN(Subcategories!$I$3:$I$40)+1)/(MAX(Subcategories!$I$3:$I$40)-MIN(Subcategories!$I$3:$I$40)+1)*100</f>
        <v>56.594011598619701</v>
      </c>
      <c r="J40" s="8">
        <f>(Subcategories!J39-MIN(Subcategories!$J$3:$J$40)+1)/(MAX(Subcategories!$J$3:$J$40)-MIN(Subcategories!$J$3:$J$40)+1)*100</f>
        <v>74.225302093384499</v>
      </c>
      <c r="K40" s="8">
        <f>(Subcategories!K39-MIN(Subcategories!$K$3:$K$40)+1)/(MAX(Subcategories!$K$3:$K$40)-MIN(Subcategories!$K$3:$K$40)+1)*100</f>
        <v>70.441821480038811</v>
      </c>
      <c r="L40" s="8">
        <f>(Subcategories!L39-MIN(Subcategories!$L$3:$L$40)+1)/(MAX(Subcategories!$L$3:$L$40)-MIN(Subcategories!$L$3:$L$40)+1)*100</f>
        <v>46.177359144826688</v>
      </c>
      <c r="M40" s="8">
        <f>(Subcategories!M39-MIN(Subcategories!$M$3:$M$40)+1)/(MAX(Subcategories!$M$3:$M$40)-MIN(Subcategories!$M$3:$M$40)+1)*100</f>
        <v>100</v>
      </c>
      <c r="N40" s="8">
        <f>(Subcategories!N39-MIN(Subcategories!$N$3:$N$40)+1)/(MAX(Subcategories!$N$3:$N$40)-MIN(Subcategories!$N$3:$N$40)+1)*100</f>
        <v>65.098433406595248</v>
      </c>
      <c r="O40" s="8">
        <f>(Subcategories!O39-MIN(Subcategories!$O$3:$O$40)+1)/(MAX(Subcategories!$O$3:$O$40)-MIN(Subcategories!$O$3:$O$40)+1)*100</f>
        <v>74.777905342233623</v>
      </c>
      <c r="P40" s="8">
        <f>(Subcategories!P39-MIN(Subcategories!$P$3:$P$40)+1)/(MAX(Subcategories!$P$3:$P$40)-MIN(Subcategories!$P$3:$P$40)+1)*100</f>
        <v>44.651579981319024</v>
      </c>
    </row>
    <row r="41" spans="1:16" x14ac:dyDescent="0.3">
      <c r="A41" s="6" t="str">
        <f>RawData!A40</f>
        <v>United States</v>
      </c>
      <c r="B41" s="8">
        <f>(Subcategories!B40-MIN(Subcategories!$B$3:$B$40)+1)/(MAX(Subcategories!$B$3:$B$40)-MIN(Subcategories!$B$3:$B$40)+1)*100</f>
        <v>49.151368727723749</v>
      </c>
      <c r="C41" s="8">
        <f>(Subcategories!C40-MIN(Subcategories!$C$3:$C$40)+1)/(MAX(Subcategories!$C$3:$C$40)-MIN(Subcategories!$C$3:$C$40)+1)*100</f>
        <v>66.201726615813115</v>
      </c>
      <c r="D41" s="8">
        <f>(Subcategories!D40-MIN(Subcategories!$D$3:$D$40)+1)/(MAX(Subcategories!$D$3:$D$40)-MIN(Subcategories!$D$3:$D$40)+1)*100</f>
        <v>82.511133621765168</v>
      </c>
      <c r="E41" s="8">
        <f>(Subcategories!E40-MIN(Subcategories!$E$3:$E$40)+1)/(MAX(Subcategories!$E$3:$E$40)-MIN(Subcategories!$E$3:$E$40)+1)*100</f>
        <v>57.328175656671419</v>
      </c>
      <c r="F41" s="8">
        <f>(Subcategories!F40-MIN(Subcategories!$F$3:$F$40)+1)/(MAX(Subcategories!$F$3:$F$40)-MIN(Subcategories!$F$3:$F$40)+1)*100</f>
        <v>100</v>
      </c>
      <c r="G41" s="8">
        <f>(Subcategories!G40-MIN(Subcategories!$G$3:$G$40)+1)/(MAX(Subcategories!$G$3:$G$40)-MIN(Subcategories!$G$3:$G$40)+1)*100</f>
        <v>50.071877730832547</v>
      </c>
      <c r="H41" s="8">
        <f>(Subcategories!H40-MIN(Subcategories!$H$3:$H$40)+1)/(MAX(Subcategories!$H$3:$H$40)-MIN(Subcategories!$H$3:$H$40)+1)*100</f>
        <v>100</v>
      </c>
      <c r="I41" s="8">
        <f>(Subcategories!I40-MIN(Subcategories!$I$3:$I$40)+1)/(MAX(Subcategories!$I$3:$I$40)-MIN(Subcategories!$I$3:$I$40)+1)*100</f>
        <v>51.68824776502813</v>
      </c>
      <c r="J41" s="8">
        <f>(Subcategories!J40-MIN(Subcategories!$J$3:$J$40)+1)/(MAX(Subcategories!$J$3:$J$40)-MIN(Subcategories!$J$3:$J$40)+1)*100</f>
        <v>37.822185036874032</v>
      </c>
      <c r="K41" s="8">
        <f>(Subcategories!K40-MIN(Subcategories!$K$3:$K$40)+1)/(MAX(Subcategories!$K$3:$K$40)-MIN(Subcategories!$K$3:$K$40)+1)*100</f>
        <v>70.441821480038811</v>
      </c>
      <c r="L41" s="8">
        <f>(Subcategories!L40-MIN(Subcategories!$L$3:$L$40)+1)/(MAX(Subcategories!$L$3:$L$40)-MIN(Subcategories!$L$3:$L$40)+1)*100</f>
        <v>63.820452706714136</v>
      </c>
      <c r="M41" s="8">
        <f>(Subcategories!M40-MIN(Subcategories!$M$3:$M$40)+1)/(MAX(Subcategories!$M$3:$M$40)-MIN(Subcategories!$M$3:$M$40)+1)*100</f>
        <v>77.330754405449071</v>
      </c>
      <c r="N41" s="8">
        <f>(Subcategories!N40-MIN(Subcategories!$N$3:$N$40)+1)/(MAX(Subcategories!$N$3:$N$40)-MIN(Subcategories!$N$3:$N$40)+1)*100</f>
        <v>31.269889644617088</v>
      </c>
      <c r="O41" s="8">
        <f>(Subcategories!O40-MIN(Subcategories!$O$3:$O$40)+1)/(MAX(Subcategories!$O$3:$O$40)-MIN(Subcategories!$O$3:$O$40)+1)*100</f>
        <v>56.023014442868877</v>
      </c>
      <c r="P41" s="8">
        <f>(Subcategories!P40-MIN(Subcategories!$P$3:$P$40)+1)/(MAX(Subcategories!$P$3:$P$40)-MIN(Subcategories!$P$3:$P$40)+1)*100</f>
        <v>43.849544926859238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1"/>
  <sheetViews>
    <sheetView workbookViewId="0">
      <selection activeCell="F4" sqref="F4"/>
    </sheetView>
  </sheetViews>
  <sheetFormatPr defaultRowHeight="14.4" x14ac:dyDescent="0.3"/>
  <sheetData>
    <row r="1" spans="1:6" ht="18" x14ac:dyDescent="0.35">
      <c r="A1" s="4" t="s">
        <v>117</v>
      </c>
    </row>
    <row r="2" spans="1:6" x14ac:dyDescent="0.3">
      <c r="A2" t="s">
        <v>118</v>
      </c>
    </row>
    <row r="3" spans="1:6" x14ac:dyDescent="0.3">
      <c r="A3" s="5" t="s">
        <v>17</v>
      </c>
      <c r="B3" s="5" t="s">
        <v>119</v>
      </c>
      <c r="C3" s="5" t="s">
        <v>120</v>
      </c>
      <c r="D3" s="5" t="s">
        <v>121</v>
      </c>
      <c r="E3" s="5" t="s">
        <v>122</v>
      </c>
      <c r="F3" s="5" t="s">
        <v>123</v>
      </c>
    </row>
    <row r="4" spans="1:6" x14ac:dyDescent="0.3">
      <c r="A4" s="6" t="str">
        <f>RawData!A3</f>
        <v>Austria</v>
      </c>
      <c r="B4" s="8">
        <f>(Subcategories!B3+Subcategories!C3+Subcategories!D3)/3</f>
        <v>4.5083821902352779E-2</v>
      </c>
      <c r="C4" s="8">
        <f>(Subcategories!H3+Subcategories!I3)/2</f>
        <v>-2.8330210268693229E-2</v>
      </c>
      <c r="D4" s="8">
        <f>(Subcategories!J3+Subcategories!K3+Subcategories!L3)/3</f>
        <v>4.6546823015816398E-2</v>
      </c>
      <c r="E4" s="8">
        <f>(Subcategories!G3+Subcategories!E3+Subcategories!F3)/3</f>
        <v>-0.21358476867518858</v>
      </c>
      <c r="F4" s="8">
        <f>(Subcategories!M3+Subcategories!N3+Subcategories!O3+Subcategories!P3)/4</f>
        <v>9.9306711797761876E-2</v>
      </c>
    </row>
    <row r="5" spans="1:6" x14ac:dyDescent="0.3">
      <c r="A5" s="6" t="str">
        <f>RawData!A4</f>
        <v>Australia</v>
      </c>
      <c r="B5" s="8">
        <f>(Subcategories!B4+Subcategories!C4+Subcategories!D4)/3</f>
        <v>-0.29991868409151462</v>
      </c>
      <c r="C5" s="8">
        <f>(Subcategories!H4+Subcategories!I4)/2</f>
        <v>0.71596989126421173</v>
      </c>
      <c r="D5" s="8">
        <f>(Subcategories!J4+Subcategories!K4+Subcategories!L4)/3</f>
        <v>0.84815364740863297</v>
      </c>
      <c r="E5" s="8">
        <f>(Subcategories!G4+Subcategories!E4+Subcategories!F4)/3</f>
        <v>8.2107277739651791E-2</v>
      </c>
      <c r="F5" s="8">
        <f>(Subcategories!M4+Subcategories!N4+Subcategories!O4+Subcategories!P4)/4</f>
        <v>-0.30070314274154991</v>
      </c>
    </row>
    <row r="6" spans="1:6" x14ac:dyDescent="0.3">
      <c r="A6" s="6" t="str">
        <f>RawData!A5</f>
        <v>Belgium</v>
      </c>
      <c r="B6" s="8">
        <f>(Subcategories!B5+Subcategories!C5+Subcategories!D5)/3</f>
        <v>7.9148653054261817E-2</v>
      </c>
      <c r="C6" s="8">
        <f>(Subcategories!H5+Subcategories!I5)/2</f>
        <v>-0.29510001626936866</v>
      </c>
      <c r="D6" s="8">
        <f>(Subcategories!J5+Subcategories!K5+Subcategories!L5)/3</f>
        <v>-0.53477785035334602</v>
      </c>
      <c r="E6" s="8">
        <f>(Subcategories!G5+Subcategories!E5+Subcategories!F5)/3</f>
        <v>0.16833287560984966</v>
      </c>
      <c r="F6" s="8">
        <f>(Subcategories!M5+Subcategories!N5+Subcategories!O5+Subcategories!P5)/4</f>
        <v>-0.1676159575062999</v>
      </c>
    </row>
    <row r="7" spans="1:6" x14ac:dyDescent="0.3">
      <c r="A7" s="6" t="str">
        <f>RawData!A6</f>
        <v>Canada</v>
      </c>
      <c r="B7" s="8">
        <f>(Subcategories!B6+Subcategories!C6+Subcategories!D6)/3</f>
        <v>-8.6852162524310939E-2</v>
      </c>
      <c r="C7" s="8">
        <f>(Subcategories!H6+Subcategories!I6)/2</f>
        <v>0.77392818162541843</v>
      </c>
      <c r="D7" s="8">
        <f>(Subcategories!J6+Subcategories!K6+Subcategories!L6)/3</f>
        <v>-7.8066770339192557E-2</v>
      </c>
      <c r="E7" s="8">
        <f>(Subcategories!G6+Subcategories!E6+Subcategories!F6)/3</f>
        <v>-0.21997970150369137</v>
      </c>
      <c r="F7" s="8">
        <f>(Subcategories!M6+Subcategories!N6+Subcategories!O6+Subcategories!P6)/4</f>
        <v>2.4614406127324615E-2</v>
      </c>
    </row>
    <row r="8" spans="1:6" x14ac:dyDescent="0.3">
      <c r="A8" s="6" t="str">
        <f>RawData!A7</f>
        <v>Switzerland</v>
      </c>
      <c r="B8" s="8">
        <f>(Subcategories!B7+Subcategories!C7+Subcategories!D7)/3</f>
        <v>0.22390278200379091</v>
      </c>
      <c r="C8" s="8">
        <f>(Subcategories!H7+Subcategories!I7)/2</f>
        <v>1.0976891425923188</v>
      </c>
      <c r="D8" s="8">
        <f>(Subcategories!J7+Subcategories!K7+Subcategories!L7)/3</f>
        <v>-0.77773411518259916</v>
      </c>
      <c r="E8" s="8">
        <f>(Subcategories!G7+Subcategories!E7+Subcategories!F7)/3</f>
        <v>0.45743793387959153</v>
      </c>
      <c r="F8" s="8">
        <f>(Subcategories!M7+Subcategories!N7+Subcategories!O7+Subcategories!P7)/4</f>
        <v>0.73664689595588451</v>
      </c>
    </row>
    <row r="9" spans="1:6" x14ac:dyDescent="0.3">
      <c r="A9" s="6" t="str">
        <f>RawData!A8</f>
        <v>Chile</v>
      </c>
      <c r="B9" s="8">
        <f>(Subcategories!B8+Subcategories!C8+Subcategories!D8)/3</f>
        <v>-0.37917861822859295</v>
      </c>
      <c r="C9" s="8">
        <f>(Subcategories!H8+Subcategories!I8)/2</f>
        <v>0.55887150927935414</v>
      </c>
      <c r="D9" s="8">
        <f>(Subcategories!J8+Subcategories!K8+Subcategories!L8)/3</f>
        <v>0.34078187430715112</v>
      </c>
      <c r="E9" s="8">
        <f>(Subcategories!G8+Subcategories!E8+Subcategories!F8)/3</f>
        <v>-0.17730859273120958</v>
      </c>
      <c r="F9" s="8">
        <f>(Subcategories!M8+Subcategories!N8+Subcategories!O8+Subcategories!P8)/4</f>
        <v>-1.0344312922954078</v>
      </c>
    </row>
    <row r="10" spans="1:6" x14ac:dyDescent="0.3">
      <c r="A10" s="6" t="str">
        <f>RawData!A9</f>
        <v>Colombia</v>
      </c>
      <c r="B10" s="8">
        <f>(Subcategories!B9+Subcategories!C9+Subcategories!D9)/3</f>
        <v>-0.82281116790188014</v>
      </c>
      <c r="C10" s="8">
        <f>(Subcategories!H9+Subcategories!I9)/2</f>
        <v>-2.039035933923565E-2</v>
      </c>
      <c r="D10" s="8">
        <f>(Subcategories!J9+Subcategories!K9+Subcategories!L9)/3</f>
        <v>-0.5846254385862687</v>
      </c>
      <c r="E10" s="8">
        <f>(Subcategories!G9+Subcategories!E9+Subcategories!F9)/3</f>
        <v>0.20481158510778116</v>
      </c>
      <c r="F10" s="8">
        <f>(Subcategories!M9+Subcategories!N9+Subcategories!O9+Subcategories!P9)/4</f>
        <v>-0.84856544793838051</v>
      </c>
    </row>
    <row r="11" spans="1:6" x14ac:dyDescent="0.3">
      <c r="A11" s="6" t="str">
        <f>RawData!A10</f>
        <v>Costa Rica</v>
      </c>
      <c r="B11" s="8">
        <f>(Subcategories!B10+Subcategories!C10+Subcategories!D10)/3</f>
        <v>-0.56075618718963127</v>
      </c>
      <c r="C11" s="8">
        <f>(Subcategories!H10+Subcategories!I10)/2</f>
        <v>0.79109115204626168</v>
      </c>
      <c r="D11" s="8">
        <f>(Subcategories!J10+Subcategories!K10+Subcategories!L10)/3</f>
        <v>0.30096214176974778</v>
      </c>
      <c r="E11" s="8">
        <f>(Subcategories!G10+Subcategories!E10+Subcategories!F10)/3</f>
        <v>-0.1562829505831711</v>
      </c>
      <c r="F11" s="8">
        <f>(Subcategories!M10+Subcategories!N10+Subcategories!O10+Subcategories!P10)/4</f>
        <v>-0.23202356964802551</v>
      </c>
    </row>
    <row r="12" spans="1:6" x14ac:dyDescent="0.3">
      <c r="A12" s="6" t="str">
        <f>RawData!A11</f>
        <v>Czech Republic</v>
      </c>
      <c r="B12" s="8">
        <f>(Subcategories!B11+Subcategories!C11+Subcategories!D11)/3</f>
        <v>0.3010819093355202</v>
      </c>
      <c r="C12" s="8">
        <f>(Subcategories!H11+Subcategories!I11)/2</f>
        <v>-0.5734363925285888</v>
      </c>
      <c r="D12" s="8">
        <f>(Subcategories!J11+Subcategories!K11+Subcategories!L11)/3</f>
        <v>0.50444791182999971</v>
      </c>
      <c r="E12" s="8">
        <f>(Subcategories!G11+Subcategories!E11+Subcategories!F11)/3</f>
        <v>0.34052248312646105</v>
      </c>
      <c r="F12" s="8">
        <f>(Subcategories!M11+Subcategories!N11+Subcategories!O11+Subcategories!P11)/4</f>
        <v>0.21946690548733125</v>
      </c>
    </row>
    <row r="13" spans="1:6" x14ac:dyDescent="0.3">
      <c r="A13" s="6" t="str">
        <f>RawData!A12</f>
        <v>Germany</v>
      </c>
      <c r="B13" s="8">
        <f>(Subcategories!B12+Subcategories!C12+Subcategories!D12)/3</f>
        <v>-0.33969979087962238</v>
      </c>
      <c r="C13" s="8">
        <f>(Subcategories!H12+Subcategories!I12)/2</f>
        <v>0.10114727322420231</v>
      </c>
      <c r="D13" s="8">
        <f>(Subcategories!J12+Subcategories!K12+Subcategories!L12)/3</f>
        <v>0.21066518971954282</v>
      </c>
      <c r="E13" s="8">
        <f>(Subcategories!G12+Subcategories!E12+Subcategories!F12)/3</f>
        <v>-0.44284182315323223</v>
      </c>
      <c r="F13" s="8">
        <f>(Subcategories!M12+Subcategories!N12+Subcategories!O12+Subcategories!P12)/4</f>
        <v>0.33684923339962763</v>
      </c>
    </row>
    <row r="14" spans="1:6" x14ac:dyDescent="0.3">
      <c r="A14" s="6" t="str">
        <f>RawData!A13</f>
        <v>Denmark</v>
      </c>
      <c r="B14" s="8">
        <f>(Subcategories!B13+Subcategories!C13+Subcategories!D13)/3</f>
        <v>8.1219807331595895E-2</v>
      </c>
      <c r="C14" s="8">
        <f>(Subcategories!H13+Subcategories!I13)/2</f>
        <v>-0.15226357822876246</v>
      </c>
      <c r="D14" s="8">
        <f>(Subcategories!J13+Subcategories!K13+Subcategories!L13)/3</f>
        <v>0.24744342846534692</v>
      </c>
      <c r="E14" s="8">
        <f>(Subcategories!G13+Subcategories!E13+Subcategories!F13)/3</f>
        <v>-0.46180452388784515</v>
      </c>
      <c r="F14" s="8">
        <f>(Subcategories!M13+Subcategories!N13+Subcategories!O13+Subcategories!P13)/4</f>
        <v>-0.35053830660534313</v>
      </c>
    </row>
    <row r="15" spans="1:6" x14ac:dyDescent="0.3">
      <c r="A15" s="6" t="str">
        <f>RawData!A14</f>
        <v>Estonia</v>
      </c>
      <c r="B15" s="8">
        <f>(Subcategories!B14+Subcategories!C14+Subcategories!D14)/3</f>
        <v>1.0787515878184142</v>
      </c>
      <c r="C15" s="8">
        <f>(Subcategories!H14+Subcategories!I14)/2</f>
        <v>-0.21858024922898905</v>
      </c>
      <c r="D15" s="8">
        <f>(Subcategories!J14+Subcategories!K14+Subcategories!L14)/3</f>
        <v>1.2160675875371838</v>
      </c>
      <c r="E15" s="8">
        <f>(Subcategories!G14+Subcategories!E14+Subcategories!F14)/3</f>
        <v>0.83310767681634401</v>
      </c>
      <c r="F15" s="8">
        <f>(Subcategories!M14+Subcategories!N14+Subcategories!O14+Subcategories!P14)/4</f>
        <v>0.35552148978752041</v>
      </c>
    </row>
    <row r="16" spans="1:6" x14ac:dyDescent="0.3">
      <c r="A16" s="6" t="str">
        <f>RawData!A15</f>
        <v>Spain</v>
      </c>
      <c r="B16" s="8">
        <f>(Subcategories!B15+Subcategories!C15+Subcategories!D15)/3</f>
        <v>-0.39538124886039716</v>
      </c>
      <c r="C16" s="8">
        <f>(Subcategories!H15+Subcategories!I15)/2</f>
        <v>-9.4211170823522677E-2</v>
      </c>
      <c r="D16" s="8">
        <f>(Subcategories!J15+Subcategories!K15+Subcategories!L15)/3</f>
        <v>-0.77713952446337409</v>
      </c>
      <c r="E16" s="8">
        <f>(Subcategories!G15+Subcategories!E15+Subcategories!F15)/3</f>
        <v>-9.3331814620318476E-2</v>
      </c>
      <c r="F16" s="8">
        <f>(Subcategories!M15+Subcategories!N15+Subcategories!O15+Subcategories!P15)/4</f>
        <v>2.7138883804219437E-2</v>
      </c>
    </row>
    <row r="17" spans="1:6" x14ac:dyDescent="0.3">
      <c r="A17" s="6" t="str">
        <f>RawData!A16</f>
        <v>Finland</v>
      </c>
      <c r="B17" s="8">
        <f>(Subcategories!B16+Subcategories!C16+Subcategories!D16)/3</f>
        <v>0.34568219875626277</v>
      </c>
      <c r="C17" s="8">
        <f>(Subcategories!H16+Subcategories!I16)/2</f>
        <v>-0.41852781749317658</v>
      </c>
      <c r="D17" s="8">
        <f>(Subcategories!J16+Subcategories!K16+Subcategories!L16)/3</f>
        <v>-1.5551378178728112E-2</v>
      </c>
      <c r="E17" s="8">
        <f>(Subcategories!G16+Subcategories!E16+Subcategories!F16)/3</f>
        <v>-0.24051612593977637</v>
      </c>
      <c r="F17" s="8">
        <f>(Subcategories!M16+Subcategories!N16+Subcategories!O16+Subcategories!P16)/4</f>
        <v>-3.3736782204566509E-2</v>
      </c>
    </row>
    <row r="18" spans="1:6" x14ac:dyDescent="0.3">
      <c r="A18" s="6" t="str">
        <f>RawData!A17</f>
        <v>France</v>
      </c>
      <c r="B18" s="8">
        <f>(Subcategories!B17+Subcategories!C17+Subcategories!D17)/3</f>
        <v>-1.2442161778857128</v>
      </c>
      <c r="C18" s="8">
        <f>(Subcategories!H17+Subcategories!I17)/2</f>
        <v>-0.55245355184799783</v>
      </c>
      <c r="D18" s="8">
        <f>(Subcategories!J17+Subcategories!K17+Subcategories!L17)/3</f>
        <v>-0.64618365561551372</v>
      </c>
      <c r="E18" s="8">
        <f>(Subcategories!G17+Subcategories!E17+Subcategories!F17)/3</f>
        <v>-0.40828345466069854</v>
      </c>
      <c r="F18" s="8">
        <f>(Subcategories!M17+Subcategories!N17+Subcategories!O17+Subcategories!P17)/4</f>
        <v>0.19221205256375043</v>
      </c>
    </row>
    <row r="19" spans="1:6" x14ac:dyDescent="0.3">
      <c r="A19" s="6" t="str">
        <f>RawData!A18</f>
        <v>United Kingdom</v>
      </c>
      <c r="B19" s="8">
        <f>(Subcategories!B18+Subcategories!C18+Subcategories!D18)/3</f>
        <v>-0.2258786981524242</v>
      </c>
      <c r="C19" s="8">
        <f>(Subcategories!H18+Subcategories!I18)/2</f>
        <v>-0.62191285779350436</v>
      </c>
      <c r="D19" s="8">
        <f>(Subcategories!J18+Subcategories!K18+Subcategories!L18)/3</f>
        <v>-0.81965769419235068</v>
      </c>
      <c r="E19" s="8">
        <f>(Subcategories!G18+Subcategories!E18+Subcategories!F18)/3</f>
        <v>-0.20851008610972013</v>
      </c>
      <c r="F19" s="8">
        <f>(Subcategories!M18+Subcategories!N18+Subcategories!O18+Subcategories!P18)/4</f>
        <v>0.66893019443989687</v>
      </c>
    </row>
    <row r="20" spans="1:6" x14ac:dyDescent="0.3">
      <c r="A20" s="6" t="str">
        <f>RawData!A19</f>
        <v>Greece</v>
      </c>
      <c r="B20" s="8">
        <f>(Subcategories!B19+Subcategories!C19+Subcategories!D19)/3</f>
        <v>0.10034235026148003</v>
      </c>
      <c r="C20" s="8">
        <f>(Subcategories!H19+Subcategories!I19)/2</f>
        <v>-0.50602708346621283</v>
      </c>
      <c r="D20" s="8">
        <f>(Subcategories!J19+Subcategories!K19+Subcategories!L19)/3</f>
        <v>-0.4184964249636911</v>
      </c>
      <c r="E20" s="8">
        <f>(Subcategories!G19+Subcategories!E19+Subcategories!F19)/3</f>
        <v>0.60109709348316398</v>
      </c>
      <c r="F20" s="8">
        <f>(Subcategories!M19+Subcategories!N19+Subcategories!O19+Subcategories!P19)/4</f>
        <v>-0.11444696072281491</v>
      </c>
    </row>
    <row r="21" spans="1:6" x14ac:dyDescent="0.3">
      <c r="A21" s="6" t="str">
        <f>RawData!A20</f>
        <v>Hungary</v>
      </c>
      <c r="B21" s="8">
        <f>(Subcategories!B20+Subcategories!C20+Subcategories!D20)/3</f>
        <v>0.67863094232545063</v>
      </c>
      <c r="C21" s="8">
        <f>(Subcategories!H20+Subcategories!I20)/2</f>
        <v>-0.93908628464305999</v>
      </c>
      <c r="D21" s="8">
        <f>(Subcategories!J20+Subcategories!K20+Subcategories!L20)/3</f>
        <v>-5.2928349480325466E-2</v>
      </c>
      <c r="E21" s="8">
        <f>(Subcategories!G20+Subcategories!E20+Subcategories!F20)/3</f>
        <v>0.65128769631671812</v>
      </c>
      <c r="F21" s="8">
        <f>(Subcategories!M20+Subcategories!N20+Subcategories!O20+Subcategories!P20)/4</f>
        <v>0.60379572990567787</v>
      </c>
    </row>
    <row r="22" spans="1:6" x14ac:dyDescent="0.3">
      <c r="A22" s="6" t="str">
        <f>RawData!A21</f>
        <v>Ireland</v>
      </c>
      <c r="B22" s="8">
        <f>(Subcategories!B21+Subcategories!C21+Subcategories!D21)/3</f>
        <v>0.56395896546114133</v>
      </c>
      <c r="C22" s="8">
        <f>(Subcategories!H21+Subcategories!I21)/2</f>
        <v>-0.80254998958738333</v>
      </c>
      <c r="D22" s="8">
        <f>(Subcategories!J21+Subcategories!K21+Subcategories!L21)/3</f>
        <v>2.0707391227698813E-2</v>
      </c>
      <c r="E22" s="8">
        <f>(Subcategories!G21+Subcategories!E21+Subcategories!F21)/3</f>
        <v>-0.57518028368774099</v>
      </c>
      <c r="F22" s="8">
        <f>(Subcategories!M21+Subcategories!N21+Subcategories!O21+Subcategories!P21)/4</f>
        <v>-0.16794499897258724</v>
      </c>
    </row>
    <row r="23" spans="1:6" x14ac:dyDescent="0.3">
      <c r="A23" s="6" t="str">
        <f>RawData!A22</f>
        <v>Israel</v>
      </c>
      <c r="B23" s="8">
        <f>(Subcategories!B22+Subcategories!C22+Subcategories!D22)/3</f>
        <v>0.20628771762511844</v>
      </c>
      <c r="C23" s="8">
        <f>(Subcategories!H22+Subcategories!I22)/2</f>
        <v>0.32916068701360279</v>
      </c>
      <c r="D23" s="8">
        <f>(Subcategories!J22+Subcategories!K22+Subcategories!L22)/3</f>
        <v>0.53007936198855976</v>
      </c>
      <c r="E23" s="8">
        <f>(Subcategories!G22+Subcategories!E22+Subcategories!F22)/3</f>
        <v>-0.41468801785046905</v>
      </c>
      <c r="F23" s="8">
        <f>(Subcategories!M22+Subcategories!N22+Subcategories!O22+Subcategories!P22)/4</f>
        <v>0.30461960949020311</v>
      </c>
    </row>
    <row r="24" spans="1:6" x14ac:dyDescent="0.3">
      <c r="A24" s="6" t="str">
        <f>RawData!A23</f>
        <v>Iceland</v>
      </c>
      <c r="B24" s="8">
        <f>(Subcategories!B23+Subcategories!C23+Subcategories!D23)/3</f>
        <v>0.11129518125469685</v>
      </c>
      <c r="C24" s="8">
        <f>(Subcategories!H23+Subcategories!I23)/2</f>
        <v>-0.28800367940287896</v>
      </c>
      <c r="D24" s="8">
        <f>(Subcategories!J23+Subcategories!K23+Subcategories!L23)/3</f>
        <v>-0.27713660706407356</v>
      </c>
      <c r="E24" s="8">
        <f>(Subcategories!G23+Subcategories!E23+Subcategories!F23)/3</f>
        <v>-0.1176317002920047</v>
      </c>
      <c r="F24" s="8">
        <f>(Subcategories!M23+Subcategories!N23+Subcategories!O23+Subcategories!P23)/4</f>
        <v>-0.13160922583435594</v>
      </c>
    </row>
    <row r="25" spans="1:6" x14ac:dyDescent="0.3">
      <c r="A25" s="6" t="str">
        <f>RawData!A24</f>
        <v>Italy</v>
      </c>
      <c r="B25" s="8">
        <f>(Subcategories!B24+Subcategories!C24+Subcategories!D24)/3</f>
        <v>-0.21519638393863297</v>
      </c>
      <c r="C25" s="8">
        <f>(Subcategories!H24+Subcategories!I24)/2</f>
        <v>-0.92932984497157745</v>
      </c>
      <c r="D25" s="8">
        <f>(Subcategories!J24+Subcategories!K24+Subcategories!L24)/3</f>
        <v>-0.91606055953619181</v>
      </c>
      <c r="E25" s="8">
        <f>(Subcategories!G24+Subcategories!E24+Subcategories!F24)/3</f>
        <v>-2.8149333608484189E-2</v>
      </c>
      <c r="F25" s="8">
        <f>(Subcategories!M24+Subcategories!N24+Subcategories!O24+Subcategories!P24)/4</f>
        <v>-7.5983706188749861E-2</v>
      </c>
    </row>
    <row r="26" spans="1:6" x14ac:dyDescent="0.3">
      <c r="A26" s="6" t="str">
        <f>RawData!A25</f>
        <v>Japan</v>
      </c>
      <c r="B26" s="8">
        <f>(Subcategories!B25+Subcategories!C25+Subcategories!D25)/3</f>
        <v>-0.56323108935716792</v>
      </c>
      <c r="C26" s="8">
        <f>(Subcategories!H25+Subcategories!I25)/2</f>
        <v>0.96055877977552995</v>
      </c>
      <c r="D26" s="8">
        <f>(Subcategories!J25+Subcategories!K25+Subcategories!L25)/3</f>
        <v>-7.3040568875170117E-2</v>
      </c>
      <c r="E26" s="8">
        <f>(Subcategories!G25+Subcategories!E25+Subcategories!F25)/3</f>
        <v>-0.44812227914248792</v>
      </c>
      <c r="F26" s="8">
        <f>(Subcategories!M25+Subcategories!N25+Subcategories!O25+Subcategories!P25)/4</f>
        <v>-0.12975546798308335</v>
      </c>
    </row>
    <row r="27" spans="1:6" x14ac:dyDescent="0.3">
      <c r="A27" s="6" t="str">
        <f>RawData!A26</f>
        <v>Korea</v>
      </c>
      <c r="B27" s="8">
        <f>(Subcategories!B26+Subcategories!C26+Subcategories!D26)/3</f>
        <v>-0.1458315908633987</v>
      </c>
      <c r="C27" s="8">
        <f>(Subcategories!H26+Subcategories!I26)/2</f>
        <v>1.0791441464941964</v>
      </c>
      <c r="D27" s="8">
        <f>(Subcategories!J26+Subcategories!K26+Subcategories!L26)/3</f>
        <v>-0.46467712415252921</v>
      </c>
      <c r="E27" s="8">
        <f>(Subcategories!G26+Subcategories!E26+Subcategories!F26)/3</f>
        <v>-0.69804051644414356</v>
      </c>
      <c r="F27" s="8">
        <f>(Subcategories!M26+Subcategories!N26+Subcategories!O26+Subcategories!P26)/4</f>
        <v>-0.18198186242512959</v>
      </c>
    </row>
    <row r="28" spans="1:6" x14ac:dyDescent="0.3">
      <c r="A28" s="6" t="str">
        <f>RawData!A27</f>
        <v>Lithuania</v>
      </c>
      <c r="B28" s="8">
        <f>(Subcategories!B27+Subcategories!C27+Subcategories!D27)/3</f>
        <v>0.68554830778787679</v>
      </c>
      <c r="C28" s="8">
        <f>(Subcategories!H27+Subcategories!I27)/2</f>
        <v>-0.29008003990605058</v>
      </c>
      <c r="D28" s="8">
        <f>(Subcategories!J27+Subcategories!K27+Subcategories!L27)/3</f>
        <v>0.4181458508340497</v>
      </c>
      <c r="E28" s="8">
        <f>(Subcategories!G27+Subcategories!E27+Subcategories!F27)/3</f>
        <v>0.36484916438864357</v>
      </c>
      <c r="F28" s="8">
        <f>(Subcategories!M27+Subcategories!N27+Subcategories!O27+Subcategories!P27)/4</f>
        <v>0.10193365271676685</v>
      </c>
    </row>
    <row r="29" spans="1:6" x14ac:dyDescent="0.3">
      <c r="A29" s="6" t="str">
        <f>RawData!A28</f>
        <v>Luxembourg</v>
      </c>
      <c r="B29" s="8">
        <f>(Subcategories!B28+Subcategories!C28+Subcategories!D28)/3</f>
        <v>-3.0780061201632652E-2</v>
      </c>
      <c r="C29" s="8">
        <f>(Subcategories!H28+Subcategories!I28)/2</f>
        <v>0.74887217253146332</v>
      </c>
      <c r="D29" s="8">
        <f>(Subcategories!J28+Subcategories!K28+Subcategories!L28)/3</f>
        <v>9.9545659733165023E-2</v>
      </c>
      <c r="E29" s="8">
        <f>(Subcategories!G28+Subcategories!E28+Subcategories!F28)/3</f>
        <v>-0.14887291664552407</v>
      </c>
      <c r="F29" s="8">
        <f>(Subcategories!M28+Subcategories!N28+Subcategories!O28+Subcategories!P28)/4</f>
        <v>0.51584710369242381</v>
      </c>
    </row>
    <row r="30" spans="1:6" x14ac:dyDescent="0.3">
      <c r="A30" s="6" t="str">
        <f>RawData!A29</f>
        <v>Latvia</v>
      </c>
      <c r="B30" s="8">
        <f>(Subcategories!B29+Subcategories!C29+Subcategories!D29)/3</f>
        <v>1.2601184685817717</v>
      </c>
      <c r="C30" s="8">
        <f>(Subcategories!H29+Subcategories!I29)/2</f>
        <v>-0.19815029014569871</v>
      </c>
      <c r="D30" s="8">
        <f>(Subcategories!J29+Subcategories!K29+Subcategories!L29)/3</f>
        <v>0.50123221944475871</v>
      </c>
      <c r="E30" s="8">
        <f>(Subcategories!G29+Subcategories!E29+Subcategories!F29)/3</f>
        <v>0.48040031477507456</v>
      </c>
      <c r="F30" s="8">
        <f>(Subcategories!M29+Subcategories!N29+Subcategories!O29+Subcategories!P29)/4</f>
        <v>0.43955368675815343</v>
      </c>
    </row>
    <row r="31" spans="1:6" x14ac:dyDescent="0.3">
      <c r="A31" s="6" t="str">
        <f>RawData!A30</f>
        <v>Mexico</v>
      </c>
      <c r="B31" s="8">
        <f>(Subcategories!B30+Subcategories!C30+Subcategories!D30)/3</f>
        <v>-0.1991179923438452</v>
      </c>
      <c r="C31" s="8">
        <f>(Subcategories!H30+Subcategories!I30)/2</f>
        <v>0.19652090496809604</v>
      </c>
      <c r="D31" s="8">
        <f>(Subcategories!J30+Subcategories!K30+Subcategories!L30)/3</f>
        <v>0.63212578600304037</v>
      </c>
      <c r="E31" s="8">
        <f>(Subcategories!G30+Subcategories!E30+Subcategories!F30)/3</f>
        <v>0.11035887445506121</v>
      </c>
      <c r="F31" s="8">
        <f>(Subcategories!M30+Subcategories!N30+Subcategories!O30+Subcategories!P30)/4</f>
        <v>-0.73840871089587667</v>
      </c>
    </row>
    <row r="32" spans="1:6" x14ac:dyDescent="0.3">
      <c r="A32" s="6" t="str">
        <f>RawData!A31</f>
        <v>Netherlands</v>
      </c>
      <c r="B32" s="8">
        <f>(Subcategories!B31+Subcategories!C31+Subcategories!D31)/3</f>
        <v>-0.11031886347233032</v>
      </c>
      <c r="C32" s="8">
        <f>(Subcategories!H31+Subcategories!I31)/2</f>
        <v>-2.0390058251977178E-2</v>
      </c>
      <c r="D32" s="8">
        <f>(Subcategories!J31+Subcategories!K31+Subcategories!L31)/3</f>
        <v>-3.9108666901648312E-2</v>
      </c>
      <c r="E32" s="8">
        <f>(Subcategories!G31+Subcategories!E31+Subcategories!F31)/3</f>
        <v>-0.29615467710003379</v>
      </c>
      <c r="F32" s="8">
        <f>(Subcategories!M31+Subcategories!N31+Subcategories!O31+Subcategories!P31)/4</f>
        <v>0.60973911758537003</v>
      </c>
    </row>
    <row r="33" spans="1:6" x14ac:dyDescent="0.3">
      <c r="A33" s="6" t="str">
        <f>RawData!A32</f>
        <v>Norway</v>
      </c>
      <c r="B33" s="8">
        <f>(Subcategories!B32+Subcategories!C32+Subcategories!D32)/3</f>
        <v>0.15094499403732012</v>
      </c>
      <c r="C33" s="8">
        <f>(Subcategories!H32+Subcategories!I32)/2</f>
        <v>-0.26089125679681419</v>
      </c>
      <c r="D33" s="8">
        <f>(Subcategories!J32+Subcategories!K32+Subcategories!L32)/3</f>
        <v>0.11785499956076555</v>
      </c>
      <c r="E33" s="8">
        <f>(Subcategories!G32+Subcategories!E32+Subcategories!F32)/3</f>
        <v>-0.28787457535782429</v>
      </c>
      <c r="F33" s="8">
        <f>(Subcategories!M32+Subcategories!N32+Subcategories!O32+Subcategories!P32)/4</f>
        <v>0.13960333220968058</v>
      </c>
    </row>
    <row r="34" spans="1:6" x14ac:dyDescent="0.3">
      <c r="A34" s="6" t="str">
        <f>RawData!A33</f>
        <v>New Zealand</v>
      </c>
      <c r="B34" s="8">
        <f>(Subcategories!B33+Subcategories!C33+Subcategories!D33)/3</f>
        <v>-0.3610493218334167</v>
      </c>
      <c r="C34" s="8">
        <f>(Subcategories!H33+Subcategories!I33)/2</f>
        <v>1.3083494783555882</v>
      </c>
      <c r="D34" s="8">
        <f>(Subcategories!J33+Subcategories!K33+Subcategories!L33)/3</f>
        <v>0.5894704336825104</v>
      </c>
      <c r="E34" s="8">
        <f>(Subcategories!G33+Subcategories!E33+Subcategories!F33)/3</f>
        <v>0.50343289207917274</v>
      </c>
      <c r="F34" s="8">
        <f>(Subcategories!M33+Subcategories!N33+Subcategories!O33+Subcategories!P33)/4</f>
        <v>-0.10654947689291404</v>
      </c>
    </row>
    <row r="35" spans="1:6" x14ac:dyDescent="0.3">
      <c r="A35" s="6" t="str">
        <f>RawData!A34</f>
        <v>Poland</v>
      </c>
      <c r="B35" s="8">
        <f>(Subcategories!B34+Subcategories!C34+Subcategories!D34)/3</f>
        <v>0.13829984460804556</v>
      </c>
      <c r="C35" s="8">
        <f>(Subcategories!H34+Subcategories!I34)/2</f>
        <v>-0.77609792236544628</v>
      </c>
      <c r="D35" s="8">
        <f>(Subcategories!J34+Subcategories!K34+Subcategories!L34)/3</f>
        <v>-0.31246021458564205</v>
      </c>
      <c r="E35" s="8">
        <f>(Subcategories!G34+Subcategories!E34+Subcategories!F34)/3</f>
        <v>-0.45286454251425923</v>
      </c>
      <c r="F35" s="8">
        <f>(Subcategories!M34+Subcategories!N34+Subcategories!O34+Subcategories!P34)/4</f>
        <v>-0.27926069146993932</v>
      </c>
    </row>
    <row r="36" spans="1:6" x14ac:dyDescent="0.3">
      <c r="A36" s="6" t="str">
        <f>RawData!A35</f>
        <v>Portugal</v>
      </c>
      <c r="B36" s="8">
        <f>(Subcategories!B35+Subcategories!C35+Subcategories!D35)/3</f>
        <v>-0.65617993277733355</v>
      </c>
      <c r="C36" s="8">
        <f>(Subcategories!H35+Subcategories!I35)/2</f>
        <v>-0.20370077625646624</v>
      </c>
      <c r="D36" s="8">
        <f>(Subcategories!J35+Subcategories!K35+Subcategories!L35)/3</f>
        <v>-1.6919881967112978E-2</v>
      </c>
      <c r="E36" s="8">
        <f>(Subcategories!G35+Subcategories!E35+Subcategories!F35)/3</f>
        <v>-0.13119169643667392</v>
      </c>
      <c r="F36" s="8">
        <f>(Subcategories!M35+Subcategories!N35+Subcategories!O35+Subcategories!P35)/4</f>
        <v>-0.2901222471469474</v>
      </c>
    </row>
    <row r="37" spans="1:6" x14ac:dyDescent="0.3">
      <c r="A37" s="6" t="str">
        <f>RawData!A36</f>
        <v>Sweden</v>
      </c>
      <c r="B37" s="8">
        <f>(Subcategories!B36+Subcategories!C36+Subcategories!D36)/3</f>
        <v>0.3946103218832045</v>
      </c>
      <c r="C37" s="8">
        <f>(Subcategories!H36+Subcategories!I36)/2</f>
        <v>-0.29026673069176095</v>
      </c>
      <c r="D37" s="8">
        <f>(Subcategories!J36+Subcategories!K36+Subcategories!L36)/3</f>
        <v>0.45880740385293795</v>
      </c>
      <c r="E37" s="8">
        <f>(Subcategories!G36+Subcategories!E36+Subcategories!F36)/3</f>
        <v>-9.9127400241605948E-2</v>
      </c>
      <c r="F37" s="8">
        <f>(Subcategories!M36+Subcategories!N36+Subcategories!O36+Subcategories!P36)/4</f>
        <v>0.19011832544152144</v>
      </c>
    </row>
    <row r="38" spans="1:6" x14ac:dyDescent="0.3">
      <c r="A38" s="6" t="str">
        <f>RawData!A37</f>
        <v>Slovenia</v>
      </c>
      <c r="B38" s="8">
        <f>(Subcategories!B37+Subcategories!C37+Subcategories!D37)/3</f>
        <v>0.15325707612063952</v>
      </c>
      <c r="C38" s="8">
        <f>(Subcategories!H37+Subcategories!I37)/2</f>
        <v>-0.46413021195583198</v>
      </c>
      <c r="D38" s="8">
        <f>(Subcategories!J37+Subcategories!K37+Subcategories!L37)/3</f>
        <v>-0.2089073309551672</v>
      </c>
      <c r="E38" s="8">
        <f>(Subcategories!G37+Subcategories!E37+Subcategories!F37)/3</f>
        <v>0.25026478943341762</v>
      </c>
      <c r="F38" s="8">
        <f>(Subcategories!M37+Subcategories!N37+Subcategories!O37+Subcategories!P37)/4</f>
        <v>-9.3589731420906139E-2</v>
      </c>
    </row>
    <row r="39" spans="1:6" x14ac:dyDescent="0.3">
      <c r="A39" s="6" t="str">
        <f>RawData!A38</f>
        <v>Slovak Republic</v>
      </c>
      <c r="B39" s="8">
        <f>(Subcategories!B38+Subcategories!C38+Subcategories!D38)/3</f>
        <v>-0.13012125272240863</v>
      </c>
      <c r="C39" s="8">
        <f>(Subcategories!H38+Subcategories!I38)/2</f>
        <v>-0.68130107745923829</v>
      </c>
      <c r="D39" s="8">
        <f>(Subcategories!J38+Subcategories!K38+Subcategories!L38)/3</f>
        <v>0.43293188622603185</v>
      </c>
      <c r="E39" s="8">
        <f>(Subcategories!G38+Subcategories!E38+Subcategories!F38)/3</f>
        <v>0.84736544982961137</v>
      </c>
      <c r="F39" s="8">
        <f>(Subcategories!M38+Subcategories!N38+Subcategories!O38+Subcategories!P38)/4</f>
        <v>-0.11987815092189189</v>
      </c>
    </row>
    <row r="40" spans="1:6" x14ac:dyDescent="0.3">
      <c r="A40" s="6" t="str">
        <f>RawData!A39</f>
        <v>Turkey</v>
      </c>
      <c r="B40" s="8">
        <f>(Subcategories!B39+Subcategories!C39+Subcategories!D39)/3</f>
        <v>-7.5861530678973402E-2</v>
      </c>
      <c r="C40" s="8">
        <f>(Subcategories!H39+Subcategories!I39)/2</f>
        <v>-6.8675659906278302E-2</v>
      </c>
      <c r="D40" s="8">
        <f>(Subcategories!J39+Subcategories!K39+Subcategories!L39)/3</f>
        <v>-7.7167586484579484E-2</v>
      </c>
      <c r="E40" s="8">
        <f>(Subcategories!G39+Subcategories!E39+Subcategories!F39)/3</f>
        <v>0.51037091695079873</v>
      </c>
      <c r="F40" s="8">
        <f>(Subcategories!M39+Subcategories!N39+Subcategories!O39+Subcategories!P39)/4</f>
        <v>0.33889647249680643</v>
      </c>
    </row>
    <row r="41" spans="1:6" x14ac:dyDescent="0.3">
      <c r="A41" s="6" t="str">
        <f>RawData!A40</f>
        <v>United States</v>
      </c>
      <c r="B41" s="8">
        <f>(Subcategories!B40+Subcategories!C40+Subcategories!D40)/3</f>
        <v>0.24421582475429041</v>
      </c>
      <c r="C41" s="8">
        <f>(Subcategories!H40+Subcategories!I40)/2</f>
        <v>1.0325837904582613</v>
      </c>
      <c r="D41" s="8">
        <f>(Subcategories!J40+Subcategories!K40+Subcategories!L40)/3</f>
        <v>-0.42532985472943574</v>
      </c>
      <c r="E41" s="8">
        <f>(Subcategories!G40+Subcategories!E40+Subcategories!F40)/3</f>
        <v>-8.5405242805240422E-2</v>
      </c>
      <c r="F41" s="8">
        <f>(Subcategories!M40+Subcategories!N40+Subcategories!O40+Subcategories!P40)/4</f>
        <v>-0.5076480738451451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"/>
  <sheetViews>
    <sheetView workbookViewId="0">
      <selection activeCell="B3" sqref="B3"/>
    </sheetView>
  </sheetViews>
  <sheetFormatPr defaultRowHeight="14.4" x14ac:dyDescent="0.3"/>
  <sheetData>
    <row r="1" spans="1:6" ht="18" x14ac:dyDescent="0.35">
      <c r="A1" s="4" t="s">
        <v>124</v>
      </c>
    </row>
    <row r="2" spans="1:6" x14ac:dyDescent="0.3">
      <c r="A2" s="5" t="s">
        <v>17</v>
      </c>
      <c r="B2" s="5" t="s">
        <v>119</v>
      </c>
      <c r="C2" s="5" t="s">
        <v>120</v>
      </c>
      <c r="D2" s="5" t="s">
        <v>121</v>
      </c>
      <c r="E2" s="5" t="s">
        <v>122</v>
      </c>
      <c r="F2" s="5" t="s">
        <v>123</v>
      </c>
    </row>
    <row r="3" spans="1:6" x14ac:dyDescent="0.3">
      <c r="A3" s="6" t="str">
        <f>RawData!A3</f>
        <v>Austria</v>
      </c>
      <c r="B3" s="8">
        <f>(Categories!B4-MIN(Categories!$B$4:$B$41)+1)/(MAX(Categories!$B$4:$B$41)-MIN(Categories!$B$4:$B$41)+1)*100</f>
        <v>65.327665041801168</v>
      </c>
      <c r="C3" s="8">
        <f>(Categories!C4-MIN(Categories!$C$4:$C$41)+1)/(MAX(Categories!$C$4:$C$41)-MIN(Categories!$C$4:$C$41)+1)*100</f>
        <v>58.838918267316075</v>
      </c>
      <c r="D3" s="8">
        <f>(Categories!D4-MIN(Categories!$D$4:$D$41)+1)/(MAX(Categories!$D$4:$D$41)-MIN(Categories!$D$4:$D$41)+1)*100</f>
        <v>62.66050718218046</v>
      </c>
      <c r="E3" s="8">
        <f>(Categories!E4-MIN(Categories!$E$4:$E$41)+1)/(MAX(Categories!$E$4:$E$41)-MIN(Categories!$E$4:$E$41)+1)*100</f>
        <v>58.319017376315195</v>
      </c>
      <c r="F3" s="8">
        <f>(Categories!F4-MIN(Categories!$F$4:$F$41)+1)/(MAX(Categories!$F$4:$F$41)-MIN(Categories!$F$4:$F$41)+1)*100</f>
        <v>77.000281447838887</v>
      </c>
    </row>
    <row r="4" spans="1:6" x14ac:dyDescent="0.3">
      <c r="A4" s="6" t="str">
        <f>RawData!A4</f>
        <v>Australia</v>
      </c>
      <c r="B4" s="8">
        <f>(Categories!B5-MIN(Categories!$B$4:$B$41)+1)/(MAX(Categories!$B$4:$B$41)-MIN(Categories!$B$4:$B$41)+1)*100</f>
        <v>55.482643352972325</v>
      </c>
      <c r="C4" s="8">
        <f>(Categories!C5-MIN(Categories!$C$4:$C$41)+1)/(MAX(Categories!$C$4:$C$41)-MIN(Categories!$C$4:$C$41)+1)*100</f>
        <v>81.758543345461618</v>
      </c>
      <c r="D4" s="8">
        <f>(Categories!D5-MIN(Categories!$D$4:$D$41)+1)/(MAX(Categories!$D$4:$D$41)-MIN(Categories!$D$4:$D$41)+1)*100</f>
        <v>88.253547656652387</v>
      </c>
      <c r="E4" s="8">
        <f>(Categories!E5-MIN(Categories!$E$4:$E$41)+1)/(MAX(Categories!$E$4:$E$41)-MIN(Categories!$E$4:$E$41)+1)*100</f>
        <v>69.935712329211327</v>
      </c>
      <c r="F4" s="8">
        <f>(Categories!F5-MIN(Categories!$F$4:$F$41)+1)/(MAX(Categories!$F$4:$F$41)-MIN(Categories!$F$4:$F$41)+1)*100</f>
        <v>62.565111186845982</v>
      </c>
    </row>
    <row r="5" spans="1:6" x14ac:dyDescent="0.3">
      <c r="A5" s="6" t="str">
        <f>RawData!A5</f>
        <v>Belgium</v>
      </c>
      <c r="B5" s="8">
        <f>(Categories!B6-MIN(Categories!$B$4:$B$41)+1)/(MAX(Categories!$B$4:$B$41)-MIN(Categories!$B$4:$B$41)+1)*100</f>
        <v>66.299742043244152</v>
      </c>
      <c r="C5" s="8">
        <f>(Categories!C6-MIN(Categories!$C$4:$C$41)+1)/(MAX(Categories!$C$4:$C$41)-MIN(Categories!$C$4:$C$41)+1)*100</f>
        <v>50.624135113165458</v>
      </c>
      <c r="D5" s="8">
        <f>(Categories!D6-MIN(Categories!$D$4:$D$41)+1)/(MAX(Categories!$D$4:$D$41)-MIN(Categories!$D$4:$D$41)+1)*100</f>
        <v>44.100453248488591</v>
      </c>
      <c r="E5" s="8">
        <f>(Categories!E6-MIN(Categories!$E$4:$E$41)+1)/(MAX(Categories!$E$4:$E$41)-MIN(Categories!$E$4:$E$41)+1)*100</f>
        <v>73.323211180580188</v>
      </c>
      <c r="F5" s="8">
        <f>(Categories!F6-MIN(Categories!$F$4:$F$41)+1)/(MAX(Categories!$F$4:$F$41)-MIN(Categories!$F$4:$F$41)+1)*100</f>
        <v>67.36783331137886</v>
      </c>
    </row>
    <row r="6" spans="1:6" x14ac:dyDescent="0.3">
      <c r="A6" s="6" t="str">
        <f>RawData!A6</f>
        <v>Canada</v>
      </c>
      <c r="B6" s="8">
        <f>(Categories!B7-MIN(Categories!$B$4:$B$41)+1)/(MAX(Categories!$B$4:$B$41)-MIN(Categories!$B$4:$B$41)+1)*100</f>
        <v>61.562728249601243</v>
      </c>
      <c r="C6" s="8">
        <f>(Categories!C7-MIN(Categories!$C$4:$C$41)+1)/(MAX(Categories!$C$4:$C$41)-MIN(Categories!$C$4:$C$41)+1)*100</f>
        <v>83.543283509426814</v>
      </c>
      <c r="D6" s="8">
        <f>(Categories!D7-MIN(Categories!$D$4:$D$41)+1)/(MAX(Categories!$D$4:$D$41)-MIN(Categories!$D$4:$D$41)+1)*100</f>
        <v>58.681947317972913</v>
      </c>
      <c r="E6" s="8">
        <f>(Categories!E7-MIN(Categories!$E$4:$E$41)+1)/(MAX(Categories!$E$4:$E$41)-MIN(Categories!$E$4:$E$41)+1)*100</f>
        <v>58.067783077612567</v>
      </c>
      <c r="F6" s="8">
        <f>(Categories!F7-MIN(Categories!$F$4:$F$41)+1)/(MAX(Categories!$F$4:$F$41)-MIN(Categories!$F$4:$F$41)+1)*100</f>
        <v>74.304857479395309</v>
      </c>
    </row>
    <row r="7" spans="1:6" x14ac:dyDescent="0.3">
      <c r="A7" s="6" t="str">
        <f>RawData!A7</f>
        <v>Switzerland</v>
      </c>
      <c r="B7" s="8">
        <f>(Categories!B8-MIN(Categories!$B$4:$B$41)+1)/(MAX(Categories!$B$4:$B$41)-MIN(Categories!$B$4:$B$41)+1)*100</f>
        <v>70.430458528767232</v>
      </c>
      <c r="C7" s="8">
        <f>(Categories!C8-MIN(Categories!$C$4:$C$41)+1)/(MAX(Categories!$C$4:$C$41)-MIN(Categories!$C$4:$C$41)+1)*100</f>
        <v>93.513025317897345</v>
      </c>
      <c r="D7" s="8">
        <f>(Categories!D8-MIN(Categories!$D$4:$D$41)+1)/(MAX(Categories!$D$4:$D$41)-MIN(Categories!$D$4:$D$41)+1)*100</f>
        <v>36.343546333416526</v>
      </c>
      <c r="E7" s="8">
        <f>(Categories!E8-MIN(Categories!$E$4:$E$41)+1)/(MAX(Categories!$E$4:$E$41)-MIN(Categories!$E$4:$E$41)+1)*100</f>
        <v>84.681126660481652</v>
      </c>
      <c r="F7" s="8">
        <f>(Categories!F8-MIN(Categories!$F$4:$F$41)+1)/(MAX(Categories!$F$4:$F$41)-MIN(Categories!$F$4:$F$41)+1)*100</f>
        <v>100</v>
      </c>
    </row>
    <row r="8" spans="1:6" x14ac:dyDescent="0.3">
      <c r="A8" s="6" t="str">
        <f>RawData!A8</f>
        <v>Chile</v>
      </c>
      <c r="B8" s="8">
        <f>(Categories!B9-MIN(Categories!$B$4:$B$41)+1)/(MAX(Categories!$B$4:$B$41)-MIN(Categories!$B$4:$B$41)+1)*100</f>
        <v>53.220874939474051</v>
      </c>
      <c r="C8" s="8">
        <f>(Categories!C9-MIN(Categories!$C$4:$C$41)+1)/(MAX(Categories!$C$4:$C$41)-MIN(Categories!$C$4:$C$41)+1)*100</f>
        <v>76.920930119209686</v>
      </c>
      <c r="D8" s="8">
        <f>(Categories!D9-MIN(Categories!$D$4:$D$41)+1)/(MAX(Categories!$D$4:$D$41)-MIN(Categories!$D$4:$D$41)+1)*100</f>
        <v>72.054600829538558</v>
      </c>
      <c r="E8" s="8">
        <f>(Categories!E9-MIN(Categories!$E$4:$E$41)+1)/(MAX(Categories!$E$4:$E$41)-MIN(Categories!$E$4:$E$41)+1)*100</f>
        <v>59.744180058599795</v>
      </c>
      <c r="F8" s="8">
        <f>(Categories!F9-MIN(Categories!$F$4:$F$41)+1)/(MAX(Categories!$F$4:$F$41)-MIN(Categories!$F$4:$F$41)+1)*100</f>
        <v>36.087036599680246</v>
      </c>
    </row>
    <row r="9" spans="1:6" x14ac:dyDescent="0.3">
      <c r="A9" s="6" t="str">
        <f>RawData!A9</f>
        <v>Colombia</v>
      </c>
      <c r="B9" s="8">
        <f>(Categories!B10-MIN(Categories!$B$4:$B$41)+1)/(MAX(Categories!$B$4:$B$41)-MIN(Categories!$B$4:$B$41)+1)*100</f>
        <v>40.561337696919672</v>
      </c>
      <c r="C9" s="8">
        <f>(Categories!C10-MIN(Categories!$C$4:$C$41)+1)/(MAX(Categories!$C$4:$C$41)-MIN(Categories!$C$4:$C$41)+1)*100</f>
        <v>59.083414279213351</v>
      </c>
      <c r="D9" s="8">
        <f>(Categories!D10-MIN(Categories!$D$4:$D$41)+1)/(MAX(Categories!$D$4:$D$41)-MIN(Categories!$D$4:$D$41)+1)*100</f>
        <v>42.508960630937167</v>
      </c>
      <c r="E9" s="8">
        <f>(Categories!E10-MIN(Categories!$E$4:$E$41)+1)/(MAX(Categories!$E$4:$E$41)-MIN(Categories!$E$4:$E$41)+1)*100</f>
        <v>74.756330690052124</v>
      </c>
      <c r="F9" s="8">
        <f>(Categories!F10-MIN(Categories!$F$4:$F$41)+1)/(MAX(Categories!$F$4:$F$41)-MIN(Categories!$F$4:$F$41)+1)*100</f>
        <v>42.794384127622756</v>
      </c>
    </row>
    <row r="10" spans="1:6" x14ac:dyDescent="0.3">
      <c r="A10" s="6" t="str">
        <f>RawData!A10</f>
        <v>Costa Rica</v>
      </c>
      <c r="B10" s="8">
        <f>(Categories!B11-MIN(Categories!$B$4:$B$41)+1)/(MAX(Categories!$B$4:$B$41)-MIN(Categories!$B$4:$B$41)+1)*100</f>
        <v>48.039361548791568</v>
      </c>
      <c r="C10" s="8">
        <f>(Categories!C11-MIN(Categories!$C$4:$C$41)+1)/(MAX(Categories!$C$4:$C$41)-MIN(Categories!$C$4:$C$41)+1)*100</f>
        <v>84.071791897995979</v>
      </c>
      <c r="D10" s="8">
        <f>(Categories!D11-MIN(Categories!$D$4:$D$41)+1)/(MAX(Categories!$D$4:$D$41)-MIN(Categories!$D$4:$D$41)+1)*100</f>
        <v>70.783269304530222</v>
      </c>
      <c r="E10" s="8">
        <f>(Categories!E11-MIN(Categories!$E$4:$E$41)+1)/(MAX(Categories!$E$4:$E$41)-MIN(Categories!$E$4:$E$41)+1)*100</f>
        <v>60.570203193086982</v>
      </c>
      <c r="F10" s="8">
        <f>(Categories!F11-MIN(Categories!$F$4:$F$41)+1)/(MAX(Categories!$F$4:$F$41)-MIN(Categories!$F$4:$F$41)+1)*100</f>
        <v>65.043553454722399</v>
      </c>
    </row>
    <row r="11" spans="1:6" x14ac:dyDescent="0.3">
      <c r="A11" s="6" t="str">
        <f>RawData!A11</f>
        <v>Czech Republic</v>
      </c>
      <c r="B11" s="8">
        <f>(Categories!B12-MIN(Categories!$B$4:$B$41)+1)/(MAX(Categories!$B$4:$B$41)-MIN(Categories!$B$4:$B$41)+1)*100</f>
        <v>72.632848857257386</v>
      </c>
      <c r="C11" s="8">
        <f>(Categories!C12-MIN(Categories!$C$4:$C$41)+1)/(MAX(Categories!$C$4:$C$41)-MIN(Categories!$C$4:$C$41)+1)*100</f>
        <v>42.053176468483684</v>
      </c>
      <c r="D11" s="8">
        <f>(Categories!D12-MIN(Categories!$D$4:$D$41)+1)/(MAX(Categories!$D$4:$D$41)-MIN(Categories!$D$4:$D$41)+1)*100</f>
        <v>77.279994869554955</v>
      </c>
      <c r="E11" s="8">
        <f>(Categories!E12-MIN(Categories!$E$4:$E$41)+1)/(MAX(Categories!$E$4:$E$41)-MIN(Categories!$E$4:$E$41)+1)*100</f>
        <v>80.087932006966938</v>
      </c>
      <c r="F11" s="8">
        <f>(Categories!F12-MIN(Categories!$F$4:$F$41)+1)/(MAX(Categories!$F$4:$F$41)-MIN(Categories!$F$4:$F$41)+1)*100</f>
        <v>81.336506755339045</v>
      </c>
    </row>
    <row r="12" spans="1:6" x14ac:dyDescent="0.3">
      <c r="A12" s="6" t="str">
        <f>RawData!A12</f>
        <v>Germany</v>
      </c>
      <c r="B12" s="8">
        <f>(Categories!B13-MIN(Categories!$B$4:$B$41)+1)/(MAX(Categories!$B$4:$B$41)-MIN(Categories!$B$4:$B$41)+1)*100</f>
        <v>54.347446209965199</v>
      </c>
      <c r="C12" s="8">
        <f>(Categories!C13-MIN(Categories!$C$4:$C$41)+1)/(MAX(Categories!$C$4:$C$41)-MIN(Categories!$C$4:$C$41)+1)*100</f>
        <v>62.825986617309781</v>
      </c>
      <c r="D12" s="8">
        <f>(Categories!D13-MIN(Categories!$D$4:$D$41)+1)/(MAX(Categories!$D$4:$D$41)-MIN(Categories!$D$4:$D$41)+1)*100</f>
        <v>67.900342814610653</v>
      </c>
      <c r="E12" s="8">
        <f>(Categories!E13-MIN(Categories!$E$4:$E$41)+1)/(MAX(Categories!$E$4:$E$41)-MIN(Categories!$E$4:$E$41)+1)*100</f>
        <v>49.312318346154001</v>
      </c>
      <c r="F12" s="8">
        <f>(Categories!F13-MIN(Categories!$F$4:$F$41)+1)/(MAX(Categories!$F$4:$F$41)-MIN(Categories!$F$4:$F$41)+1)*100</f>
        <v>85.572487118865752</v>
      </c>
    </row>
    <row r="13" spans="1:6" x14ac:dyDescent="0.3">
      <c r="A13" s="6" t="str">
        <f>RawData!A13</f>
        <v>Denmark</v>
      </c>
      <c r="B13" s="8">
        <f>(Categories!B14-MIN(Categories!$B$4:$B$41)+1)/(MAX(Categories!$B$4:$B$41)-MIN(Categories!$B$4:$B$41)+1)*100</f>
        <v>66.358844682868551</v>
      </c>
      <c r="C13" s="8">
        <f>(Categories!C14-MIN(Categories!$C$4:$C$41)+1)/(MAX(Categories!$C$4:$C$41)-MIN(Categories!$C$4:$C$41)+1)*100</f>
        <v>55.022572787224725</v>
      </c>
      <c r="D13" s="8">
        <f>(Categories!D14-MIN(Categories!$D$4:$D$41)+1)/(MAX(Categories!$D$4:$D$41)-MIN(Categories!$D$4:$D$41)+1)*100</f>
        <v>69.074568038446699</v>
      </c>
      <c r="E13" s="8">
        <f>(Categories!E14-MIN(Categories!$E$4:$E$41)+1)/(MAX(Categories!$E$4:$E$41)-MIN(Categories!$E$4:$E$41)+1)*100</f>
        <v>48.56734088535341</v>
      </c>
      <c r="F13" s="8">
        <f>(Categories!F14-MIN(Categories!$F$4:$F$41)+1)/(MAX(Categories!$F$4:$F$41)-MIN(Categories!$F$4:$F$41)+1)*100</f>
        <v>60.766707804542207</v>
      </c>
    </row>
    <row r="14" spans="1:6" x14ac:dyDescent="0.3">
      <c r="A14" s="6" t="str">
        <f>RawData!A14</f>
        <v>Estonia</v>
      </c>
      <c r="B14" s="8">
        <f>(Categories!B15-MIN(Categories!$B$4:$B$41)+1)/(MAX(Categories!$B$4:$B$41)-MIN(Categories!$B$4:$B$41)+1)*100</f>
        <v>94.82449882615569</v>
      </c>
      <c r="C14" s="8">
        <f>(Categories!C15-MIN(Categories!$C$4:$C$41)+1)/(MAX(Categories!$C$4:$C$41)-MIN(Categories!$C$4:$C$41)+1)*100</f>
        <v>52.980448605559907</v>
      </c>
      <c r="D14" s="8">
        <f>(Categories!D15-MIN(Categories!$D$4:$D$41)+1)/(MAX(Categories!$D$4:$D$41)-MIN(Categories!$D$4:$D$41)+1)*100</f>
        <v>100</v>
      </c>
      <c r="E14" s="8">
        <f>(Categories!E15-MIN(Categories!$E$4:$E$41)+1)/(MAX(Categories!$E$4:$E$41)-MIN(Categories!$E$4:$E$41)+1)*100</f>
        <v>99.439862513006545</v>
      </c>
      <c r="F14" s="8">
        <f>(Categories!F15-MIN(Categories!$F$4:$F$41)+1)/(MAX(Categories!$F$4:$F$41)-MIN(Categories!$F$4:$F$41)+1)*100</f>
        <v>86.246313518534251</v>
      </c>
    </row>
    <row r="15" spans="1:6" x14ac:dyDescent="0.3">
      <c r="A15" s="6" t="str">
        <f>RawData!A15</f>
        <v>Spain</v>
      </c>
      <c r="B15" s="8">
        <f>(Categories!B16-MIN(Categories!$B$4:$B$41)+1)/(MAX(Categories!$B$4:$B$41)-MIN(Categories!$B$4:$B$41)+1)*100</f>
        <v>52.758515254501113</v>
      </c>
      <c r="C15" s="8">
        <f>(Categories!C16-MIN(Categories!$C$4:$C$41)+1)/(MAX(Categories!$C$4:$C$41)-MIN(Categories!$C$4:$C$41)+1)*100</f>
        <v>56.810211146901921</v>
      </c>
      <c r="D15" s="8">
        <f>(Categories!D16-MIN(Categories!$D$4:$D$41)+1)/(MAX(Categories!$D$4:$D$41)-MIN(Categories!$D$4:$D$41)+1)*100</f>
        <v>36.362529934703105</v>
      </c>
      <c r="E15" s="8">
        <f>(Categories!E16-MIN(Categories!$E$4:$E$41)+1)/(MAX(Categories!$E$4:$E$41)-MIN(Categories!$E$4:$E$41)+1)*100</f>
        <v>63.043330733327942</v>
      </c>
      <c r="F15" s="8">
        <f>(Categories!F16-MIN(Categories!$F$4:$F$41)+1)/(MAX(Categories!$F$4:$F$41)-MIN(Categories!$F$4:$F$41)+1)*100</f>
        <v>74.395958397716484</v>
      </c>
    </row>
    <row r="16" spans="1:6" x14ac:dyDescent="0.3">
      <c r="A16" s="6" t="str">
        <f>RawData!A16</f>
        <v>Finland</v>
      </c>
      <c r="B16" s="8">
        <f>(Categories!B17-MIN(Categories!$B$4:$B$41)+1)/(MAX(Categories!$B$4:$B$41)-MIN(Categories!$B$4:$B$41)+1)*100</f>
        <v>73.905566617409136</v>
      </c>
      <c r="C16" s="8">
        <f>(Categories!C17-MIN(Categories!$C$4:$C$41)+1)/(MAX(Categories!$C$4:$C$41)-MIN(Categories!$C$4:$C$41)+1)*100</f>
        <v>46.823357815885345</v>
      </c>
      <c r="D16" s="8">
        <f>(Categories!D17-MIN(Categories!$D$4:$D$41)+1)/(MAX(Categories!$D$4:$D$41)-MIN(Categories!$D$4:$D$41)+1)*100</f>
        <v>60.677887114333998</v>
      </c>
      <c r="E16" s="8">
        <f>(Categories!E17-MIN(Categories!$E$4:$E$41)+1)/(MAX(Categories!$E$4:$E$41)-MIN(Categories!$E$4:$E$41)+1)*100</f>
        <v>57.260979577181224</v>
      </c>
      <c r="F16" s="8">
        <f>(Categories!F17-MIN(Categories!$F$4:$F$41)+1)/(MAX(Categories!$F$4:$F$41)-MIN(Categories!$F$4:$F$41)+1)*100</f>
        <v>72.199136010427523</v>
      </c>
    </row>
    <row r="17" spans="1:6" x14ac:dyDescent="0.3">
      <c r="A17" s="6" t="str">
        <f>RawData!A17</f>
        <v>France</v>
      </c>
      <c r="B17" s="8">
        <f>(Categories!B18-MIN(Categories!$B$4:$B$41)+1)/(MAX(Categories!$B$4:$B$41)-MIN(Categories!$B$4:$B$41)+1)*100</f>
        <v>28.536087471213449</v>
      </c>
      <c r="C17" s="8">
        <f>(Categories!C18-MIN(Categories!$C$4:$C$41)+1)/(MAX(Categories!$C$4:$C$41)-MIN(Categories!$C$4:$C$41)+1)*100</f>
        <v>42.699312134034642</v>
      </c>
      <c r="D17" s="8">
        <f>(Categories!D18-MIN(Categories!$D$4:$D$41)+1)/(MAX(Categories!$D$4:$D$41)-MIN(Categories!$D$4:$D$41)+1)*100</f>
        <v>40.543580731434517</v>
      </c>
      <c r="E17" s="8">
        <f>(Categories!E18-MIN(Categories!$E$4:$E$41)+1)/(MAX(Categories!$E$4:$E$41)-MIN(Categories!$E$4:$E$41)+1)*100</f>
        <v>50.669994447743562</v>
      </c>
      <c r="F17" s="8">
        <f>(Categories!F18-MIN(Categories!$F$4:$F$41)+1)/(MAX(Categories!$F$4:$F$41)-MIN(Categories!$F$4:$F$41)+1)*100</f>
        <v>80.352959880366882</v>
      </c>
    </row>
    <row r="18" spans="1:6" x14ac:dyDescent="0.3">
      <c r="A18" s="6" t="str">
        <f>RawData!A18</f>
        <v>United Kingdom</v>
      </c>
      <c r="B18" s="8">
        <f>(Categories!B19-MIN(Categories!$B$4:$B$41)+1)/(MAX(Categories!$B$4:$B$41)-MIN(Categories!$B$4:$B$41)+1)*100</f>
        <v>57.595454868097626</v>
      </c>
      <c r="C18" s="8">
        <f>(Categories!C19-MIN(Categories!$C$4:$C$41)+1)/(MAX(Categories!$C$4:$C$41)-MIN(Categories!$C$4:$C$41)+1)*100</f>
        <v>40.560415139152482</v>
      </c>
      <c r="D18" s="8">
        <f>(Categories!D19-MIN(Categories!$D$4:$D$41)+1)/(MAX(Categories!$D$4:$D$41)-MIN(Categories!$D$4:$D$41)+1)*100</f>
        <v>35.005044936245902</v>
      </c>
      <c r="E18" s="8">
        <f>(Categories!E19-MIN(Categories!$E$4:$E$41)+1)/(MAX(Categories!$E$4:$E$41)-MIN(Categories!$E$4:$E$41)+1)*100</f>
        <v>58.518383710515224</v>
      </c>
      <c r="F18" s="8">
        <f>(Categories!F19-MIN(Categories!$F$4:$F$41)+1)/(MAX(Categories!$F$4:$F$41)-MIN(Categories!$F$4:$F$41)+1)*100</f>
        <v>97.556304913982942</v>
      </c>
    </row>
    <row r="19" spans="1:6" x14ac:dyDescent="0.3">
      <c r="A19" s="6" t="str">
        <f>RawData!A19</f>
        <v>Greece</v>
      </c>
      <c r="B19" s="8">
        <f>(Categories!B20-MIN(Categories!$B$4:$B$41)+1)/(MAX(Categories!$B$4:$B$41)-MIN(Categories!$B$4:$B$41)+1)*100</f>
        <v>66.904527240587754</v>
      </c>
      <c r="C19" s="8">
        <f>(Categories!C20-MIN(Categories!$C$4:$C$41)+1)/(MAX(Categories!$C$4:$C$41)-MIN(Categories!$C$4:$C$41)+1)*100</f>
        <v>44.128946829530982</v>
      </c>
      <c r="D19" s="8">
        <f>(Categories!D20-MIN(Categories!$D$4:$D$41)+1)/(MAX(Categories!$D$4:$D$41)-MIN(Categories!$D$4:$D$41)+1)*100</f>
        <v>47.812990537178614</v>
      </c>
      <c r="E19" s="8">
        <f>(Categories!E20-MIN(Categories!$E$4:$E$41)+1)/(MAX(Categories!$E$4:$E$41)-MIN(Categories!$E$4:$E$41)+1)*100</f>
        <v>90.324987070452977</v>
      </c>
      <c r="F19" s="8">
        <f>(Categories!F20-MIN(Categories!$F$4:$F$41)+1)/(MAX(Categories!$F$4:$F$41)-MIN(Categories!$F$4:$F$41)+1)*100</f>
        <v>69.286544844272768</v>
      </c>
    </row>
    <row r="20" spans="1:6" x14ac:dyDescent="0.3">
      <c r="A20" s="6" t="str">
        <f>RawData!A20</f>
        <v>Hungary</v>
      </c>
      <c r="B20" s="8">
        <f>(Categories!B21-MIN(Categories!$B$4:$B$41)+1)/(MAX(Categories!$B$4:$B$41)-MIN(Categories!$B$4:$B$41)+1)*100</f>
        <v>83.406621087330109</v>
      </c>
      <c r="C20" s="8">
        <f>(Categories!C21-MIN(Categories!$C$4:$C$41)+1)/(MAX(Categories!$C$4:$C$41)-MIN(Categories!$C$4:$C$41)+1)*100</f>
        <v>30.793526738666277</v>
      </c>
      <c r="D20" s="8">
        <f>(Categories!D21-MIN(Categories!$D$4:$D$41)+1)/(MAX(Categories!$D$4:$D$41)-MIN(Categories!$D$4:$D$41)+1)*100</f>
        <v>59.484546052075025</v>
      </c>
      <c r="E20" s="8">
        <f>(Categories!E21-MIN(Categories!$E$4:$E$41)+1)/(MAX(Categories!$E$4:$E$41)-MIN(Categories!$E$4:$E$41)+1)*100</f>
        <v>92.296798384584079</v>
      </c>
      <c r="F20" s="8">
        <f>(Categories!F21-MIN(Categories!$F$4:$F$41)+1)/(MAX(Categories!$F$4:$F$41)-MIN(Categories!$F$4:$F$41)+1)*100</f>
        <v>95.205795108435993</v>
      </c>
    </row>
    <row r="21" spans="1:6" x14ac:dyDescent="0.3">
      <c r="A21" s="6" t="str">
        <f>RawData!A21</f>
        <v>Ireland</v>
      </c>
      <c r="B21" s="8">
        <f>(Categories!B22-MIN(Categories!$B$4:$B$41)+1)/(MAX(Categories!$B$4:$B$41)-MIN(Categories!$B$4:$B$41)+1)*100</f>
        <v>80.134331525033204</v>
      </c>
      <c r="C21" s="8">
        <f>(Categories!C22-MIN(Categories!$C$4:$C$41)+1)/(MAX(Categories!$C$4:$C$41)-MIN(Categories!$C$4:$C$41)+1)*100</f>
        <v>34.99796079126169</v>
      </c>
      <c r="D21" s="8">
        <f>(Categories!D22-MIN(Categories!$D$4:$D$41)+1)/(MAX(Categories!$D$4:$D$41)-MIN(Categories!$D$4:$D$41)+1)*100</f>
        <v>61.835527150240779</v>
      </c>
      <c r="E21" s="8">
        <f>(Categories!E22-MIN(Categories!$E$4:$E$41)+1)/(MAX(Categories!$E$4:$E$41)-MIN(Categories!$E$4:$E$41)+1)*100</f>
        <v>44.113208173239606</v>
      </c>
      <c r="F21" s="8">
        <f>(Categories!F22-MIN(Categories!$F$4:$F$41)+1)/(MAX(Categories!$F$4:$F$41)-MIN(Categories!$F$4:$F$41)+1)*100</f>
        <v>67.355959179942147</v>
      </c>
    </row>
    <row r="22" spans="1:6" x14ac:dyDescent="0.3">
      <c r="A22" s="6" t="str">
        <f>RawData!A22</f>
        <v>Israel</v>
      </c>
      <c r="B22" s="8">
        <f>(Categories!B23-MIN(Categories!$B$4:$B$41)+1)/(MAX(Categories!$B$4:$B$41)-MIN(Categories!$B$4:$B$41)+1)*100</f>
        <v>69.927793510846385</v>
      </c>
      <c r="C22" s="8">
        <f>(Categories!C23-MIN(Categories!$C$4:$C$41)+1)/(MAX(Categories!$C$4:$C$41)-MIN(Categories!$C$4:$C$41)+1)*100</f>
        <v>69.847323771608259</v>
      </c>
      <c r="D22" s="8">
        <f>(Categories!D23-MIN(Categories!$D$4:$D$41)+1)/(MAX(Categories!$D$4:$D$41)-MIN(Categories!$D$4:$D$41)+1)*100</f>
        <v>78.098334635841667</v>
      </c>
      <c r="E22" s="8">
        <f>(Categories!E23-MIN(Categories!$E$4:$E$41)+1)/(MAX(Categories!$E$4:$E$41)-MIN(Categories!$E$4:$E$41)+1)*100</f>
        <v>50.41838180619915</v>
      </c>
      <c r="F22" s="8">
        <f>(Categories!F23-MIN(Categories!$F$4:$F$41)+1)/(MAX(Categories!$F$4:$F$41)-MIN(Categories!$F$4:$F$41)+1)*100</f>
        <v>84.409415501252425</v>
      </c>
    </row>
    <row r="23" spans="1:6" x14ac:dyDescent="0.3">
      <c r="A23" s="6" t="str">
        <f>RawData!A23</f>
        <v>Iceland</v>
      </c>
      <c r="B23" s="8">
        <f>(Categories!B24-MIN(Categories!$B$4:$B$41)+1)/(MAX(Categories!$B$4:$B$41)-MIN(Categories!$B$4:$B$41)+1)*100</f>
        <v>67.217078183867613</v>
      </c>
      <c r="C23" s="8">
        <f>(Categories!C24-MIN(Categories!$C$4:$C$41)+1)/(MAX(Categories!$C$4:$C$41)-MIN(Categories!$C$4:$C$41)+1)*100</f>
        <v>50.842656352210291</v>
      </c>
      <c r="D23" s="8">
        <f>(Categories!D24-MIN(Categories!$D$4:$D$41)+1)/(MAX(Categories!$D$4:$D$41)-MIN(Categories!$D$4:$D$41)+1)*100</f>
        <v>52.32621002443689</v>
      </c>
      <c r="E23" s="8">
        <f>(Categories!E24-MIN(Categories!$E$4:$E$41)+1)/(MAX(Categories!$E$4:$E$41)-MIN(Categories!$E$4:$E$41)+1)*100</f>
        <v>62.088674148340864</v>
      </c>
      <c r="F23" s="8">
        <f>(Categories!F24-MIN(Categories!$F$4:$F$41)+1)/(MAX(Categories!$F$4:$F$41)-MIN(Categories!$F$4:$F$41)+1)*100</f>
        <v>68.667209555059173</v>
      </c>
    </row>
    <row r="24" spans="1:6" x14ac:dyDescent="0.3">
      <c r="A24" s="6" t="str">
        <f>RawData!A24</f>
        <v>Italy</v>
      </c>
      <c r="B24" s="8">
        <f>(Categories!B25-MIN(Categories!$B$4:$B$41)+1)/(MAX(Categories!$B$4:$B$41)-MIN(Categories!$B$4:$B$41)+1)*100</f>
        <v>57.900286320897351</v>
      </c>
      <c r="C24" s="8">
        <f>(Categories!C25-MIN(Categories!$C$4:$C$41)+1)/(MAX(Categories!$C$4:$C$41)-MIN(Categories!$C$4:$C$41)+1)*100</f>
        <v>31.093961924564262</v>
      </c>
      <c r="D24" s="8">
        <f>(Categories!D25-MIN(Categories!$D$4:$D$41)+1)/(MAX(Categories!$D$4:$D$41)-MIN(Categories!$D$4:$D$41)+1)*100</f>
        <v>31.927173890838041</v>
      </c>
      <c r="E24" s="8">
        <f>(Categories!E25-MIN(Categories!$E$4:$E$41)+1)/(MAX(Categories!$E$4:$E$41)-MIN(Categories!$E$4:$E$41)+1)*100</f>
        <v>65.604119930630532</v>
      </c>
      <c r="F24" s="8">
        <f>(Categories!F25-MIN(Categories!$F$4:$F$41)+1)/(MAX(Categories!$F$4:$F$41)-MIN(Categories!$F$4:$F$41)+1)*100</f>
        <v>70.674569718386394</v>
      </c>
    </row>
    <row r="25" spans="1:6" x14ac:dyDescent="0.3">
      <c r="A25" s="6" t="str">
        <f>RawData!A25</f>
        <v>Japan</v>
      </c>
      <c r="B25" s="8">
        <f>(Categories!B26-MIN(Categories!$B$4:$B$41)+1)/(MAX(Categories!$B$4:$B$41)-MIN(Categories!$B$4:$B$41)+1)*100</f>
        <v>47.968737524056046</v>
      </c>
      <c r="C25" s="8">
        <f>(Categories!C26-MIN(Categories!$C$4:$C$41)+1)/(MAX(Categories!$C$4:$C$41)-MIN(Categories!$C$4:$C$41)+1)*100</f>
        <v>89.29029782381555</v>
      </c>
      <c r="D25" s="8">
        <f>(Categories!D26-MIN(Categories!$D$4:$D$41)+1)/(MAX(Categories!$D$4:$D$41)-MIN(Categories!$D$4:$D$41)+1)*100</f>
        <v>58.842419726125136</v>
      </c>
      <c r="E25" s="8">
        <f>(Categories!E26-MIN(Categories!$E$4:$E$41)+1)/(MAX(Categories!$E$4:$E$41)-MIN(Categories!$E$4:$E$41)+1)*100</f>
        <v>49.104867901736846</v>
      </c>
      <c r="F25" s="8">
        <f>(Categories!F26-MIN(Categories!$F$4:$F$41)+1)/(MAX(Categories!$F$4:$F$41)-MIN(Categories!$F$4:$F$41)+1)*100</f>
        <v>68.734106182484993</v>
      </c>
    </row>
    <row r="26" spans="1:6" x14ac:dyDescent="0.3">
      <c r="A26" s="6" t="str">
        <f>RawData!A26</f>
        <v>Korea</v>
      </c>
      <c r="B26" s="8">
        <f>(Categories!B27-MIN(Categories!$B$4:$B$41)+1)/(MAX(Categories!$B$4:$B$41)-MIN(Categories!$B$4:$B$41)+1)*100</f>
        <v>59.879686123514865</v>
      </c>
      <c r="C26" s="8">
        <f>(Categories!C27-MIN(Categories!$C$4:$C$41)+1)/(MAX(Categories!$C$4:$C$41)-MIN(Categories!$C$4:$C$41)+1)*100</f>
        <v>92.941959484681362</v>
      </c>
      <c r="D26" s="8">
        <f>(Categories!D27-MIN(Categories!$D$4:$D$41)+1)/(MAX(Categories!$D$4:$D$41)-MIN(Categories!$D$4:$D$41)+1)*100</f>
        <v>46.338571323776087</v>
      </c>
      <c r="E26" s="8">
        <f>(Categories!E27-MIN(Categories!$E$4:$E$41)+1)/(MAX(Categories!$E$4:$E$41)-MIN(Categories!$E$4:$E$41)+1)*100</f>
        <v>39.286464055237126</v>
      </c>
      <c r="F26" s="8">
        <f>(Categories!F27-MIN(Categories!$F$4:$F$41)+1)/(MAX(Categories!$F$4:$F$41)-MIN(Categories!$F$4:$F$41)+1)*100</f>
        <v>66.849410374785521</v>
      </c>
    </row>
    <row r="27" spans="1:6" x14ac:dyDescent="0.3">
      <c r="A27" s="6" t="str">
        <f>RawData!A27</f>
        <v>Lithuania</v>
      </c>
      <c r="B27" s="8">
        <f>(Categories!B28-MIN(Categories!$B$4:$B$41)+1)/(MAX(Categories!$B$4:$B$41)-MIN(Categories!$B$4:$B$41)+1)*100</f>
        <v>83.604015633236244</v>
      </c>
      <c r="C27" s="8">
        <f>(Categories!C28-MIN(Categories!$C$4:$C$41)+1)/(MAX(Categories!$C$4:$C$41)-MIN(Categories!$C$4:$C$41)+1)*100</f>
        <v>50.778717889536765</v>
      </c>
      <c r="D27" s="8">
        <f>(Categories!D28-MIN(Categories!$D$4:$D$41)+1)/(MAX(Categories!$D$4:$D$41)-MIN(Categories!$D$4:$D$41)+1)*100</f>
        <v>74.524613960999559</v>
      </c>
      <c r="E27" s="8">
        <f>(Categories!E28-MIN(Categories!$E$4:$E$41)+1)/(MAX(Categories!$E$4:$E$41)-MIN(Categories!$E$4:$E$41)+1)*100</f>
        <v>81.043641295956874</v>
      </c>
      <c r="F27" s="8">
        <f>(Categories!F28-MIN(Categories!$F$4:$F$41)+1)/(MAX(Categories!$F$4:$F$41)-MIN(Categories!$F$4:$F$41)+1)*100</f>
        <v>77.095079960928231</v>
      </c>
    </row>
    <row r="28" spans="1:6" x14ac:dyDescent="0.3">
      <c r="A28" s="6" t="str">
        <f>RawData!A28</f>
        <v>Luxembourg</v>
      </c>
      <c r="B28" s="8">
        <f>(Categories!B29-MIN(Categories!$B$4:$B$41)+1)/(MAX(Categories!$B$4:$B$41)-MIN(Categories!$B$4:$B$41)+1)*100</f>
        <v>63.162806637639925</v>
      </c>
      <c r="C28" s="8">
        <f>(Categories!C29-MIN(Categories!$C$4:$C$41)+1)/(MAX(Categories!$C$4:$C$41)-MIN(Categories!$C$4:$C$41)+1)*100</f>
        <v>82.771720623427839</v>
      </c>
      <c r="D28" s="8">
        <f>(Categories!D29-MIN(Categories!$D$4:$D$41)+1)/(MAX(Categories!$D$4:$D$41)-MIN(Categories!$D$4:$D$41)+1)*100</f>
        <v>64.352610258067386</v>
      </c>
      <c r="E28" s="8">
        <f>(Categories!E29-MIN(Categories!$E$4:$E$41)+1)/(MAX(Categories!$E$4:$E$41)-MIN(Categories!$E$4:$E$41)+1)*100</f>
        <v>60.861317225026433</v>
      </c>
      <c r="F28" s="8">
        <f>(Categories!F29-MIN(Categories!$F$4:$F$41)+1)/(MAX(Categories!$F$4:$F$41)-MIN(Categories!$F$4:$F$41)+1)*100</f>
        <v>92.031989815386709</v>
      </c>
    </row>
    <row r="29" spans="1:6" x14ac:dyDescent="0.3">
      <c r="A29" s="6" t="str">
        <f>RawData!A29</f>
        <v>Latvia</v>
      </c>
      <c r="B29" s="8">
        <f>(Categories!B30-MIN(Categories!$B$4:$B$41)+1)/(MAX(Categories!$B$4:$B$41)-MIN(Categories!$B$4:$B$41)+1)*100</f>
        <v>100</v>
      </c>
      <c r="C29" s="8">
        <f>(Categories!C30-MIN(Categories!$C$4:$C$41)+1)/(MAX(Categories!$C$4:$C$41)-MIN(Categories!$C$4:$C$41)+1)*100</f>
        <v>53.609559096861062</v>
      </c>
      <c r="D29" s="8">
        <f>(Categories!D30-MIN(Categories!$D$4:$D$41)+1)/(MAX(Categories!$D$4:$D$41)-MIN(Categories!$D$4:$D$41)+1)*100</f>
        <v>77.177326899591932</v>
      </c>
      <c r="E29" s="8">
        <f>(Categories!E30-MIN(Categories!$E$4:$E$41)+1)/(MAX(Categories!$E$4:$E$41)-MIN(Categories!$E$4:$E$41)+1)*100</f>
        <v>85.583237412154702</v>
      </c>
      <c r="F29" s="8">
        <f>(Categories!F30-MIN(Categories!$F$4:$F$41)+1)/(MAX(Categories!$F$4:$F$41)-MIN(Categories!$F$4:$F$41)+1)*100</f>
        <v>89.278786486165018</v>
      </c>
    </row>
    <row r="30" spans="1:6" x14ac:dyDescent="0.3">
      <c r="A30" s="6" t="str">
        <f>RawData!A30</f>
        <v>Mexico</v>
      </c>
      <c r="B30" s="8">
        <f>(Categories!B31-MIN(Categories!$B$4:$B$41)+1)/(MAX(Categories!$B$4:$B$41)-MIN(Categories!$B$4:$B$41)+1)*100</f>
        <v>58.35910070984265</v>
      </c>
      <c r="C30" s="8">
        <f>(Categories!C31-MIN(Categories!$C$4:$C$41)+1)/(MAX(Categories!$C$4:$C$41)-MIN(Categories!$C$4:$C$41)+1)*100</f>
        <v>65.762877096579075</v>
      </c>
      <c r="D30" s="8">
        <f>(Categories!D31-MIN(Categories!$D$4:$D$41)+1)/(MAX(Categories!$D$4:$D$41)-MIN(Categories!$D$4:$D$41)+1)*100</f>
        <v>81.356388560290171</v>
      </c>
      <c r="E30" s="8">
        <f>(Categories!E31-MIN(Categories!$E$4:$E$41)+1)/(MAX(Categories!$E$4:$E$41)-MIN(Categories!$E$4:$E$41)+1)*100</f>
        <v>71.045617668074328</v>
      </c>
      <c r="F30" s="8">
        <f>(Categories!F31-MIN(Categories!$F$4:$F$41)+1)/(MAX(Categories!$F$4:$F$41)-MIN(Categories!$F$4:$F$41)+1)*100</f>
        <v>46.769614328976942</v>
      </c>
    </row>
    <row r="31" spans="1:6" x14ac:dyDescent="0.3">
      <c r="A31" s="6" t="str">
        <f>RawData!A31</f>
        <v>Netherlands</v>
      </c>
      <c r="B31" s="8">
        <f>(Categories!B32-MIN(Categories!$B$4:$B$41)+1)/(MAX(Categories!$B$4:$B$41)-MIN(Categories!$B$4:$B$41)+1)*100</f>
        <v>60.893080418687752</v>
      </c>
      <c r="C31" s="8">
        <f>(Categories!C32-MIN(Categories!$C$4:$C$41)+1)/(MAX(Categories!$C$4:$C$41)-MIN(Categories!$C$4:$C$41)+1)*100</f>
        <v>59.083423550751903</v>
      </c>
      <c r="D31" s="8">
        <f>(Categories!D32-MIN(Categories!$D$4:$D$41)+1)/(MAX(Categories!$D$4:$D$41)-MIN(Categories!$D$4:$D$41)+1)*100</f>
        <v>59.925769460880637</v>
      </c>
      <c r="E31" s="8">
        <f>(Categories!E32-MIN(Categories!$E$4:$E$41)+1)/(MAX(Categories!$E$4:$E$41)-MIN(Categories!$E$4:$E$41)+1)*100</f>
        <v>55.075137636938301</v>
      </c>
      <c r="F31" s="8">
        <f>(Categories!F32-MIN(Categories!$F$4:$F$41)+1)/(MAX(Categories!$F$4:$F$41)-MIN(Categories!$F$4:$F$41)+1)*100</f>
        <v>95.420274357159144</v>
      </c>
    </row>
    <row r="32" spans="1:6" x14ac:dyDescent="0.3">
      <c r="A32" s="6" t="str">
        <f>RawData!A32</f>
        <v>Norway</v>
      </c>
      <c r="B32" s="8">
        <f>(Categories!B33-MIN(Categories!$B$4:$B$41)+1)/(MAX(Categories!$B$4:$B$41)-MIN(Categories!$B$4:$B$41)+1)*100</f>
        <v>68.348528709649798</v>
      </c>
      <c r="C32" s="8">
        <f>(Categories!C33-MIN(Categories!$C$4:$C$41)+1)/(MAX(Categories!$C$4:$C$41)-MIN(Categories!$C$4:$C$41)+1)*100</f>
        <v>51.677543462680177</v>
      </c>
      <c r="D32" s="8">
        <f>(Categories!D33-MIN(Categories!$D$4:$D$41)+1)/(MAX(Categories!$D$4:$D$41)-MIN(Categories!$D$4:$D$41)+1)*100</f>
        <v>64.937175734569635</v>
      </c>
      <c r="E32" s="8">
        <f>(Categories!E33-MIN(Categories!$E$4:$E$41)+1)/(MAX(Categories!$E$4:$E$41)-MIN(Categories!$E$4:$E$41)+1)*100</f>
        <v>55.400433556407314</v>
      </c>
      <c r="F32" s="8">
        <f>(Categories!F33-MIN(Categories!$F$4:$F$41)+1)/(MAX(Categories!$F$4:$F$41)-MIN(Categories!$F$4:$F$41)+1)*100</f>
        <v>78.454467063487215</v>
      </c>
    </row>
    <row r="33" spans="1:6" x14ac:dyDescent="0.3">
      <c r="A33" s="6" t="str">
        <f>RawData!A33</f>
        <v>New Zealand</v>
      </c>
      <c r="B33" s="8">
        <f>(Categories!B34-MIN(Categories!$B$4:$B$41)+1)/(MAX(Categories!$B$4:$B$41)-MIN(Categories!$B$4:$B$41)+1)*100</f>
        <v>53.738214127198347</v>
      </c>
      <c r="C33" s="8">
        <f>(Categories!C34-MIN(Categories!$C$4:$C$41)+1)/(MAX(Categories!$C$4:$C$41)-MIN(Categories!$C$4:$C$41)+1)*100</f>
        <v>100</v>
      </c>
      <c r="D33" s="8">
        <f>(Categories!D34-MIN(Categories!$D$4:$D$41)+1)/(MAX(Categories!$D$4:$D$41)-MIN(Categories!$D$4:$D$41)+1)*100</f>
        <v>79.994523709377646</v>
      </c>
      <c r="E33" s="8">
        <f>(Categories!E34-MIN(Categories!$E$4:$E$41)+1)/(MAX(Categories!$E$4:$E$41)-MIN(Categories!$E$4:$E$41)+1)*100</f>
        <v>86.488105932511644</v>
      </c>
      <c r="F33" s="8">
        <f>(Categories!F34-MIN(Categories!$F$4:$F$41)+1)/(MAX(Categories!$F$4:$F$41)-MIN(Categories!$F$4:$F$41)+1)*100</f>
        <v>69.571541632287776</v>
      </c>
    </row>
    <row r="34" spans="1:6" x14ac:dyDescent="0.3">
      <c r="A34" s="6" t="str">
        <f>RawData!A34</f>
        <v>Poland</v>
      </c>
      <c r="B34" s="8">
        <f>(Categories!B35-MIN(Categories!$B$4:$B$41)+1)/(MAX(Categories!$B$4:$B$41)-MIN(Categories!$B$4:$B$41)+1)*100</f>
        <v>67.987685619449437</v>
      </c>
      <c r="C34" s="8">
        <f>(Categories!C35-MIN(Categories!$C$4:$C$41)+1)/(MAX(Categories!$C$4:$C$41)-MIN(Categories!$C$4:$C$41)+1)*100</f>
        <v>35.8125132305534</v>
      </c>
      <c r="D34" s="8">
        <f>(Categories!D35-MIN(Categories!$D$4:$D$41)+1)/(MAX(Categories!$D$4:$D$41)-MIN(Categories!$D$4:$D$41)+1)*100</f>
        <v>51.198427064644072</v>
      </c>
      <c r="E34" s="8">
        <f>(Categories!E35-MIN(Categories!$E$4:$E$41)+1)/(MAX(Categories!$E$4:$E$41)-MIN(Categories!$E$4:$E$41)+1)*100</f>
        <v>48.918561142241288</v>
      </c>
      <c r="F34" s="8">
        <f>(Categories!F35-MIN(Categories!$F$4:$F$41)+1)/(MAX(Categories!$F$4:$F$41)-MIN(Categories!$F$4:$F$41)+1)*100</f>
        <v>63.338905710671447</v>
      </c>
    </row>
    <row r="35" spans="1:6" x14ac:dyDescent="0.3">
      <c r="A35" s="6" t="str">
        <f>RawData!A35</f>
        <v>Portugal</v>
      </c>
      <c r="B35" s="8">
        <f>(Categories!B36-MIN(Categories!$B$4:$B$41)+1)/(MAX(Categories!$B$4:$B$41)-MIN(Categories!$B$4:$B$41)+1)*100</f>
        <v>45.316341197870067</v>
      </c>
      <c r="C35" s="8">
        <f>(Categories!C36-MIN(Categories!$C$4:$C$41)+1)/(MAX(Categories!$C$4:$C$41)-MIN(Categories!$C$4:$C$41)+1)*100</f>
        <v>53.438640054396544</v>
      </c>
      <c r="D35" s="8">
        <f>(Categories!D36-MIN(Categories!$D$4:$D$41)+1)/(MAX(Categories!$D$4:$D$41)-MIN(Categories!$D$4:$D$41)+1)*100</f>
        <v>60.634194655911955</v>
      </c>
      <c r="E35" s="8">
        <f>(Categories!E36-MIN(Categories!$E$4:$E$41)+1)/(MAX(Categories!$E$4:$E$41)-MIN(Categories!$E$4:$E$41)+1)*100</f>
        <v>61.555949847214166</v>
      </c>
      <c r="F35" s="8">
        <f>(Categories!F36-MIN(Categories!$F$4:$F$41)+1)/(MAX(Categories!$F$4:$F$41)-MIN(Categories!$F$4:$F$41)+1)*100</f>
        <v>62.946944353425792</v>
      </c>
    </row>
    <row r="36" spans="1:6" x14ac:dyDescent="0.3">
      <c r="A36" s="6" t="str">
        <f>RawData!A36</f>
        <v>Sweden</v>
      </c>
      <c r="B36" s="8">
        <f>(Categories!B37-MIN(Categories!$B$4:$B$41)+1)/(MAX(Categories!$B$4:$B$41)-MIN(Categories!$B$4:$B$41)+1)*100</f>
        <v>75.301783818761848</v>
      </c>
      <c r="C36" s="8">
        <f>(Categories!C37-MIN(Categories!$C$4:$C$41)+1)/(MAX(Categories!$C$4:$C$41)-MIN(Categories!$C$4:$C$41)+1)*100</f>
        <v>50.772969021835138</v>
      </c>
      <c r="D36" s="8">
        <f>(Categories!D37-MIN(Categories!$D$4:$D$41)+1)/(MAX(Categories!$D$4:$D$41)-MIN(Categories!$D$4:$D$41)+1)*100</f>
        <v>75.822822434905135</v>
      </c>
      <c r="E36" s="8">
        <f>(Categories!E37-MIN(Categories!$E$4:$E$41)+1)/(MAX(Categories!$E$4:$E$41)-MIN(Categories!$E$4:$E$41)+1)*100</f>
        <v>62.815642667138185</v>
      </c>
      <c r="F36" s="8">
        <f>(Categories!F37-MIN(Categories!$F$4:$F$41)+1)/(MAX(Categories!$F$4:$F$41)-MIN(Categories!$F$4:$F$41)+1)*100</f>
        <v>80.277403473077271</v>
      </c>
    </row>
    <row r="37" spans="1:6" x14ac:dyDescent="0.3">
      <c r="A37" s="6" t="str">
        <f>RawData!A37</f>
        <v>Slovenia</v>
      </c>
      <c r="B37" s="8">
        <f>(Categories!B38-MIN(Categories!$B$4:$B$41)+1)/(MAX(Categories!$B$4:$B$41)-MIN(Categories!$B$4:$B$41)+1)*100</f>
        <v>68.41450648622002</v>
      </c>
      <c r="C37" s="8">
        <f>(Categories!C38-MIN(Categories!$C$4:$C$41)+1)/(MAX(Categories!$C$4:$C$41)-MIN(Categories!$C$4:$C$41)+1)*100</f>
        <v>45.41909926265236</v>
      </c>
      <c r="D37" s="8">
        <f>(Categories!D38-MIN(Categories!$D$4:$D$41)+1)/(MAX(Categories!$D$4:$D$41)-MIN(Categories!$D$4:$D$41)+1)*100</f>
        <v>54.504577987211952</v>
      </c>
      <c r="E37" s="8">
        <f>(Categories!E38-MIN(Categories!$E$4:$E$41)+1)/(MAX(Categories!$E$4:$E$41)-MIN(Categories!$E$4:$E$41)+1)*100</f>
        <v>76.54202636798658</v>
      </c>
      <c r="F37" s="8">
        <f>(Categories!F38-MIN(Categories!$F$4:$F$41)+1)/(MAX(Categories!$F$4:$F$41)-MIN(Categories!$F$4:$F$41)+1)*100</f>
        <v>70.039220441458681</v>
      </c>
    </row>
    <row r="38" spans="1:6" x14ac:dyDescent="0.3">
      <c r="A38" s="6" t="str">
        <f>RawData!A38</f>
        <v>Slovak Republic</v>
      </c>
      <c r="B38" s="8">
        <f>(Categories!B39-MIN(Categories!$B$4:$B$41)+1)/(MAX(Categories!$B$4:$B$41)-MIN(Categories!$B$4:$B$41)+1)*100</f>
        <v>60.327997706908498</v>
      </c>
      <c r="C38" s="8">
        <f>(Categories!C39-MIN(Categories!$C$4:$C$41)+1)/(MAX(Categories!$C$4:$C$41)-MIN(Categories!$C$4:$C$41)+1)*100</f>
        <v>38.731642408913928</v>
      </c>
      <c r="D38" s="8">
        <f>(Categories!D39-MIN(Categories!$D$4:$D$41)+1)/(MAX(Categories!$D$4:$D$41)-MIN(Categories!$D$4:$D$41)+1)*100</f>
        <v>74.996690284115459</v>
      </c>
      <c r="E38" s="8">
        <f>(Categories!E39-MIN(Categories!$E$4:$E$41)+1)/(MAX(Categories!$E$4:$E$41)-MIN(Categories!$E$4:$E$41)+1)*100</f>
        <v>100</v>
      </c>
      <c r="F38" s="8">
        <f>(Categories!F39-MIN(Categories!$F$4:$F$41)+1)/(MAX(Categories!$F$4:$F$41)-MIN(Categories!$F$4:$F$41)+1)*100</f>
        <v>69.090549284778845</v>
      </c>
    </row>
    <row r="39" spans="1:6" x14ac:dyDescent="0.3">
      <c r="A39" s="6" t="str">
        <f>RawData!A39</f>
        <v>Turkey</v>
      </c>
      <c r="B39" s="8">
        <f>(Categories!B40-MIN(Categories!$B$4:$B$41)+1)/(MAX(Categories!$B$4:$B$41)-MIN(Categories!$B$4:$B$41)+1)*100</f>
        <v>61.876357881303704</v>
      </c>
      <c r="C39" s="8">
        <f>(Categories!C40-MIN(Categories!$C$4:$C$41)+1)/(MAX(Categories!$C$4:$C$41)-MIN(Categories!$C$4:$C$41)+1)*100</f>
        <v>57.596539585117576</v>
      </c>
      <c r="D39" s="8">
        <f>(Categories!D40-MIN(Categories!$D$4:$D$41)+1)/(MAX(Categories!$D$4:$D$41)-MIN(Categories!$D$4:$D$41)+1)*100</f>
        <v>58.710655717258973</v>
      </c>
      <c r="E39" s="8">
        <f>(Categories!E40-MIN(Categories!$E$4:$E$41)+1)/(MAX(Categories!$E$4:$E$41)-MIN(Categories!$E$4:$E$41)+1)*100</f>
        <v>86.760676397245092</v>
      </c>
      <c r="F39" s="8">
        <f>(Categories!F40-MIN(Categories!$F$4:$F$41)+1)/(MAX(Categories!$F$4:$F$41)-MIN(Categories!$F$4:$F$41)+1)*100</f>
        <v>85.646365911093952</v>
      </c>
    </row>
    <row r="40" spans="1:6" x14ac:dyDescent="0.3">
      <c r="A40" s="6" t="str">
        <f>RawData!A40</f>
        <v>United States</v>
      </c>
      <c r="B40" s="8">
        <f>(Categories!B41-MIN(Categories!$B$4:$B$41)+1)/(MAX(Categories!$B$4:$B$41)-MIN(Categories!$B$4:$B$41)+1)*100</f>
        <v>71.010113293502002</v>
      </c>
      <c r="C40" s="8">
        <f>(Categories!C41-MIN(Categories!$C$4:$C$41)+1)/(MAX(Categories!$C$4:$C$41)-MIN(Categories!$C$4:$C$41)+1)*100</f>
        <v>91.508201916126964</v>
      </c>
      <c r="D40" s="8">
        <f>(Categories!D41-MIN(Categories!$D$4:$D$41)+1)/(MAX(Categories!$D$4:$D$41)-MIN(Categories!$D$4:$D$41)+1)*100</f>
        <v>47.594818436776855</v>
      </c>
      <c r="E40" s="8">
        <f>(Categories!E41-MIN(Categories!$E$4:$E$41)+1)/(MAX(Categories!$E$4:$E$41)-MIN(Categories!$E$4:$E$41)+1)*100</f>
        <v>63.354737712022256</v>
      </c>
      <c r="F40" s="8">
        <f>(Categories!F41-MIN(Categories!$F$4:$F$41)+1)/(MAX(Categories!$F$4:$F$41)-MIN(Categories!$F$4:$F$41)+1)*100</f>
        <v>55.097081883992225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2"/>
  <sheetViews>
    <sheetView tabSelected="1" workbookViewId="0">
      <selection activeCell="I14" sqref="I14"/>
    </sheetView>
  </sheetViews>
  <sheetFormatPr defaultRowHeight="14.4" x14ac:dyDescent="0.3"/>
  <sheetData>
    <row r="1" spans="1:14" ht="18" x14ac:dyDescent="0.35">
      <c r="A1" s="4" t="s">
        <v>125</v>
      </c>
    </row>
    <row r="2" spans="1:14" x14ac:dyDescent="0.3">
      <c r="A2" t="s">
        <v>126</v>
      </c>
    </row>
    <row r="4" spans="1:14" s="14" customFormat="1" ht="43.2" x14ac:dyDescent="0.3">
      <c r="A4" s="15" t="s">
        <v>17</v>
      </c>
      <c r="B4" s="15" t="s">
        <v>127</v>
      </c>
      <c r="C4" s="15" t="s">
        <v>128</v>
      </c>
      <c r="D4" s="15" t="s">
        <v>129</v>
      </c>
      <c r="E4" s="15" t="s">
        <v>130</v>
      </c>
      <c r="F4" s="15" t="s">
        <v>131</v>
      </c>
      <c r="G4" s="15" t="s">
        <v>132</v>
      </c>
      <c r="H4" s="15" t="s">
        <v>133</v>
      </c>
      <c r="I4" s="15" t="s">
        <v>134</v>
      </c>
      <c r="J4" s="15" t="s">
        <v>135</v>
      </c>
      <c r="K4" s="15" t="s">
        <v>136</v>
      </c>
      <c r="L4" s="15" t="s">
        <v>137</v>
      </c>
      <c r="M4" s="15" t="s">
        <v>138</v>
      </c>
      <c r="N4" s="14" t="s">
        <v>139</v>
      </c>
    </row>
    <row r="5" spans="1:14" x14ac:dyDescent="0.3">
      <c r="A5" s="11" t="str">
        <f>RawData!A3</f>
        <v>Austria</v>
      </c>
      <c r="B5" s="8">
        <f>CategoriesScored!B3</f>
        <v>65.327665041801168</v>
      </c>
      <c r="C5" s="8">
        <f>CategoriesScored!C3</f>
        <v>58.838918267316075</v>
      </c>
      <c r="D5" s="8">
        <f>CategoriesScored!D3</f>
        <v>62.66050718218046</v>
      </c>
      <c r="E5" s="8">
        <f>CategoriesScored!E3</f>
        <v>58.319017376315195</v>
      </c>
      <c r="F5" s="8">
        <f>CategoriesScored!F3</f>
        <v>77.000281447838887</v>
      </c>
      <c r="G5" s="8">
        <f t="shared" ref="G5:G42" si="0">RANK(B5,$B$5:$B$42,0)</f>
        <v>19</v>
      </c>
      <c r="H5" s="8">
        <f t="shared" ref="H5:H42" si="1">RANK(C5,$C$5:$C$42,0)</f>
        <v>16</v>
      </c>
      <c r="I5" s="8">
        <f t="shared" ref="I5:I42" si="2">RANK(D5,$D$5:$D$42,0)</f>
        <v>17</v>
      </c>
      <c r="J5" s="8">
        <f t="shared" ref="J5:J42" si="3">RANK(E5,$E$5:$E$42,0)</f>
        <v>26</v>
      </c>
      <c r="K5" s="8">
        <f t="shared" ref="K5:K42" si="4">RANK(F5,$F$5:$F$42,0)</f>
        <v>16</v>
      </c>
      <c r="L5" s="8">
        <f t="shared" ref="L5:L42" si="5">(N5-MIN($N$5:$N$42)+1)/(MAX($N$5:$N$42)-MIN($N$5:$N$42)+1)*100</f>
        <v>69.645655576501525</v>
      </c>
      <c r="M5" s="8">
        <f t="shared" ref="M5:M42" si="6">RANK(L5,$L$5:$L$42,0)</f>
        <v>19</v>
      </c>
      <c r="N5">
        <f>(Categories!B4+Categories!C4+Categories!D4+Categories!E4+Categories!F4)/5</f>
        <v>-1.0195524445590149E-2</v>
      </c>
    </row>
    <row r="6" spans="1:14" x14ac:dyDescent="0.3">
      <c r="A6" s="6" t="str">
        <f>RawData!A4</f>
        <v>Australia</v>
      </c>
      <c r="B6" s="8">
        <f>CategoriesScored!B4</f>
        <v>55.482643352972325</v>
      </c>
      <c r="C6" s="8">
        <f>CategoriesScored!C4</f>
        <v>81.758543345461618</v>
      </c>
      <c r="D6" s="8">
        <f>CategoriesScored!D4</f>
        <v>88.253547656652387</v>
      </c>
      <c r="E6" s="8">
        <f>CategoriesScored!E4</f>
        <v>69.935712329211327</v>
      </c>
      <c r="F6" s="8">
        <f>CategoriesScored!F4</f>
        <v>62.565111186845982</v>
      </c>
      <c r="G6" s="8">
        <f t="shared" si="0"/>
        <v>29</v>
      </c>
      <c r="H6" s="8">
        <f t="shared" si="1"/>
        <v>9</v>
      </c>
      <c r="I6" s="8">
        <f t="shared" si="2"/>
        <v>2</v>
      </c>
      <c r="J6" s="8">
        <f t="shared" si="3"/>
        <v>15</v>
      </c>
      <c r="K6" s="8">
        <f t="shared" si="4"/>
        <v>33</v>
      </c>
      <c r="L6" s="8">
        <f t="shared" si="5"/>
        <v>79.684170805011149</v>
      </c>
      <c r="M6" s="8">
        <f t="shared" si="6"/>
        <v>7</v>
      </c>
      <c r="N6">
        <f>(Categories!B5+Categories!C5+Categories!D5+Categories!E5+Categories!F5)/5</f>
        <v>0.20912179791588642</v>
      </c>
    </row>
    <row r="7" spans="1:14" x14ac:dyDescent="0.3">
      <c r="A7" s="6" t="str">
        <f>RawData!A5</f>
        <v>Belgium</v>
      </c>
      <c r="B7" s="8">
        <f>CategoriesScored!B5</f>
        <v>66.299742043244152</v>
      </c>
      <c r="C7" s="8">
        <f>CategoriesScored!C5</f>
        <v>50.624135113165458</v>
      </c>
      <c r="D7" s="8">
        <f>CategoriesScored!D5</f>
        <v>44.100453248488591</v>
      </c>
      <c r="E7" s="8">
        <f>CategoriesScored!E5</f>
        <v>73.323211180580188</v>
      </c>
      <c r="F7" s="8">
        <f>CategoriesScored!F5</f>
        <v>67.36783331137886</v>
      </c>
      <c r="G7" s="8">
        <f t="shared" si="0"/>
        <v>18</v>
      </c>
      <c r="H7" s="8">
        <f t="shared" si="1"/>
        <v>27</v>
      </c>
      <c r="I7" s="8">
        <f t="shared" si="2"/>
        <v>32</v>
      </c>
      <c r="J7" s="8">
        <f t="shared" si="3"/>
        <v>13</v>
      </c>
      <c r="K7" s="8">
        <f t="shared" si="4"/>
        <v>27</v>
      </c>
      <c r="L7" s="8">
        <f t="shared" si="5"/>
        <v>63.24646180832336</v>
      </c>
      <c r="M7" s="8">
        <f t="shared" si="6"/>
        <v>30</v>
      </c>
      <c r="N7">
        <f>(Categories!B6+Categories!C6+Categories!D6+Categories!E6+Categories!F6)/5</f>
        <v>-0.15000245909298063</v>
      </c>
    </row>
    <row r="8" spans="1:14" x14ac:dyDescent="0.3">
      <c r="A8" s="6" t="str">
        <f>RawData!A6</f>
        <v>Canada</v>
      </c>
      <c r="B8" s="8">
        <f>CategoriesScored!B6</f>
        <v>61.562728249601243</v>
      </c>
      <c r="C8" s="8">
        <f>CategoriesScored!C6</f>
        <v>83.543283509426814</v>
      </c>
      <c r="D8" s="8">
        <f>CategoriesScored!D6</f>
        <v>58.681947317972913</v>
      </c>
      <c r="E8" s="8">
        <f>CategoriesScored!E6</f>
        <v>58.067783077612567</v>
      </c>
      <c r="F8" s="8">
        <f>CategoriesScored!F6</f>
        <v>74.304857479395309</v>
      </c>
      <c r="G8" s="8">
        <f t="shared" si="0"/>
        <v>22</v>
      </c>
      <c r="H8" s="8">
        <f t="shared" si="1"/>
        <v>7</v>
      </c>
      <c r="I8" s="8">
        <f t="shared" si="2"/>
        <v>25</v>
      </c>
      <c r="J8" s="8">
        <f t="shared" si="3"/>
        <v>27</v>
      </c>
      <c r="K8" s="8">
        <f t="shared" si="4"/>
        <v>18</v>
      </c>
      <c r="L8" s="8">
        <f t="shared" si="5"/>
        <v>73.898954597363073</v>
      </c>
      <c r="M8" s="8">
        <f t="shared" si="6"/>
        <v>13</v>
      </c>
      <c r="N8">
        <f>(Categories!B7+Categories!C7+Categories!D7+Categories!E7+Categories!F7)/5</f>
        <v>8.2728790677109643E-2</v>
      </c>
    </row>
    <row r="9" spans="1:14" x14ac:dyDescent="0.3">
      <c r="A9" s="6" t="str">
        <f>RawData!A7</f>
        <v>Switzerland</v>
      </c>
      <c r="B9" s="8">
        <f>CategoriesScored!B7</f>
        <v>70.430458528767232</v>
      </c>
      <c r="C9" s="8">
        <f>CategoriesScored!C7</f>
        <v>93.513025317897345</v>
      </c>
      <c r="D9" s="8">
        <f>CategoriesScored!D7</f>
        <v>36.343546333416526</v>
      </c>
      <c r="E9" s="8">
        <f>CategoriesScored!E7</f>
        <v>84.681126660481652</v>
      </c>
      <c r="F9" s="8">
        <f>CategoriesScored!F7</f>
        <v>100</v>
      </c>
      <c r="G9" s="8">
        <f t="shared" si="0"/>
        <v>10</v>
      </c>
      <c r="H9" s="8">
        <f t="shared" si="1"/>
        <v>2</v>
      </c>
      <c r="I9" s="8">
        <f t="shared" si="2"/>
        <v>36</v>
      </c>
      <c r="J9" s="8">
        <f t="shared" si="3"/>
        <v>8</v>
      </c>
      <c r="K9" s="8">
        <f t="shared" si="4"/>
        <v>1</v>
      </c>
      <c r="L9" s="8">
        <f t="shared" si="5"/>
        <v>86.022021195107129</v>
      </c>
      <c r="M9" s="8">
        <f t="shared" si="6"/>
        <v>4</v>
      </c>
      <c r="N9">
        <f>(Categories!B8+Categories!C8+Categories!D8+Categories!E8+Categories!F8)/5</f>
        <v>0.34758852784979732</v>
      </c>
    </row>
    <row r="10" spans="1:14" x14ac:dyDescent="0.3">
      <c r="A10" s="6" t="str">
        <f>RawData!A8</f>
        <v>Chile</v>
      </c>
      <c r="B10" s="8">
        <f>CategoriesScored!B8</f>
        <v>53.220874939474051</v>
      </c>
      <c r="C10" s="8">
        <f>CategoriesScored!C8</f>
        <v>76.920930119209686</v>
      </c>
      <c r="D10" s="8">
        <f>CategoriesScored!D8</f>
        <v>72.054600829538558</v>
      </c>
      <c r="E10" s="8">
        <f>CategoriesScored!E8</f>
        <v>59.744180058599795</v>
      </c>
      <c r="F10" s="8">
        <f>CategoriesScored!F8</f>
        <v>36.087036599680246</v>
      </c>
      <c r="G10" s="8">
        <f t="shared" si="0"/>
        <v>32</v>
      </c>
      <c r="H10" s="8">
        <f t="shared" si="1"/>
        <v>10</v>
      </c>
      <c r="I10" s="8">
        <f t="shared" si="2"/>
        <v>11</v>
      </c>
      <c r="J10" s="8">
        <f t="shared" si="3"/>
        <v>24</v>
      </c>
      <c r="K10" s="8">
        <f t="shared" si="4"/>
        <v>38</v>
      </c>
      <c r="L10" s="8">
        <f t="shared" si="5"/>
        <v>63.784252815902853</v>
      </c>
      <c r="M10" s="8">
        <f t="shared" si="6"/>
        <v>28</v>
      </c>
      <c r="N10">
        <f>(Categories!B9+Categories!C9+Categories!D9+Categories!E9+Categories!F9)/5</f>
        <v>-0.138253023933741</v>
      </c>
    </row>
    <row r="11" spans="1:14" x14ac:dyDescent="0.3">
      <c r="A11" s="6" t="str">
        <f>RawData!A9</f>
        <v>Colombia</v>
      </c>
      <c r="B11" s="8">
        <f>CategoriesScored!B9</f>
        <v>40.561337696919672</v>
      </c>
      <c r="C11" s="8">
        <f>CategoriesScored!C9</f>
        <v>59.083414279213351</v>
      </c>
      <c r="D11" s="8">
        <f>CategoriesScored!D9</f>
        <v>42.508960630937167</v>
      </c>
      <c r="E11" s="8">
        <f>CategoriesScored!E9</f>
        <v>74.756330690052124</v>
      </c>
      <c r="F11" s="8">
        <f>CategoriesScored!F9</f>
        <v>42.794384127622756</v>
      </c>
      <c r="G11" s="8">
        <f t="shared" si="0"/>
        <v>37</v>
      </c>
      <c r="H11" s="8">
        <f t="shared" si="1"/>
        <v>15</v>
      </c>
      <c r="I11" s="8">
        <f t="shared" si="2"/>
        <v>33</v>
      </c>
      <c r="J11" s="8">
        <f t="shared" si="3"/>
        <v>12</v>
      </c>
      <c r="K11" s="8">
        <f t="shared" si="4"/>
        <v>37</v>
      </c>
      <c r="L11" s="8">
        <f t="shared" si="5"/>
        <v>51.14838792785531</v>
      </c>
      <c r="M11" s="8">
        <f t="shared" si="6"/>
        <v>36</v>
      </c>
      <c r="N11">
        <f>(Categories!B10+Categories!C10+Categories!D10+Categories!E10+Categories!F10)/5</f>
        <v>-0.41431616573159669</v>
      </c>
    </row>
    <row r="12" spans="1:14" x14ac:dyDescent="0.3">
      <c r="A12" s="6" t="str">
        <f>RawData!A10</f>
        <v>Costa Rica</v>
      </c>
      <c r="B12" s="8">
        <f>CategoriesScored!B10</f>
        <v>48.039361548791568</v>
      </c>
      <c r="C12" s="8">
        <f>CategoriesScored!C10</f>
        <v>84.071791897995979</v>
      </c>
      <c r="D12" s="8">
        <f>CategoriesScored!D10</f>
        <v>70.783269304530222</v>
      </c>
      <c r="E12" s="8">
        <f>CategoriesScored!E10</f>
        <v>60.570203193086982</v>
      </c>
      <c r="F12" s="8">
        <f>CategoriesScored!F10</f>
        <v>65.043553454722399</v>
      </c>
      <c r="G12" s="8">
        <f t="shared" si="0"/>
        <v>34</v>
      </c>
      <c r="H12" s="8">
        <f t="shared" si="1"/>
        <v>6</v>
      </c>
      <c r="I12" s="8">
        <f t="shared" si="2"/>
        <v>12</v>
      </c>
      <c r="J12" s="8">
        <f t="shared" si="3"/>
        <v>23</v>
      </c>
      <c r="K12" s="8">
        <f t="shared" si="4"/>
        <v>30</v>
      </c>
      <c r="L12" s="8">
        <f t="shared" si="5"/>
        <v>71.421304481151893</v>
      </c>
      <c r="M12" s="8">
        <f t="shared" si="6"/>
        <v>17</v>
      </c>
      <c r="N12">
        <f>(Categories!B11+Categories!C11+Categories!D11+Categories!E11+Categories!F11)/5</f>
        <v>2.8598117279036318E-2</v>
      </c>
    </row>
    <row r="13" spans="1:14" x14ac:dyDescent="0.3">
      <c r="A13" s="6" t="str">
        <f>RawData!A11</f>
        <v>Czech Republic</v>
      </c>
      <c r="B13" s="8">
        <f>CategoriesScored!B11</f>
        <v>72.632848857257386</v>
      </c>
      <c r="C13" s="8">
        <f>CategoriesScored!C11</f>
        <v>42.053176468483684</v>
      </c>
      <c r="D13" s="8">
        <f>CategoriesScored!D11</f>
        <v>77.279994869554955</v>
      </c>
      <c r="E13" s="8">
        <f>CategoriesScored!E11</f>
        <v>80.087932006966938</v>
      </c>
      <c r="F13" s="8">
        <f>CategoriesScored!F11</f>
        <v>81.336506755339045</v>
      </c>
      <c r="G13" s="8">
        <f t="shared" si="0"/>
        <v>8</v>
      </c>
      <c r="H13" s="8">
        <f t="shared" si="1"/>
        <v>32</v>
      </c>
      <c r="I13" s="8">
        <f t="shared" si="2"/>
        <v>6</v>
      </c>
      <c r="J13" s="8">
        <f t="shared" si="3"/>
        <v>10</v>
      </c>
      <c r="K13" s="8">
        <f t="shared" si="4"/>
        <v>11</v>
      </c>
      <c r="L13" s="8">
        <f t="shared" si="5"/>
        <v>77.3633086730608</v>
      </c>
      <c r="M13" s="8">
        <f t="shared" si="6"/>
        <v>10</v>
      </c>
      <c r="N13">
        <f>(Categories!B12+Categories!C12+Categories!D12+Categories!E12+Categories!F12)/5</f>
        <v>0.15841656345014471</v>
      </c>
    </row>
    <row r="14" spans="1:14" x14ac:dyDescent="0.3">
      <c r="A14" s="6" t="str">
        <f>RawData!A12</f>
        <v>Germany</v>
      </c>
      <c r="B14" s="8">
        <f>CategoriesScored!B12</f>
        <v>54.347446209965199</v>
      </c>
      <c r="C14" s="8">
        <f>CategoriesScored!C12</f>
        <v>62.825986617309781</v>
      </c>
      <c r="D14" s="8">
        <f>CategoriesScored!D12</f>
        <v>67.900342814610653</v>
      </c>
      <c r="E14" s="8">
        <f>CategoriesScored!E12</f>
        <v>49.312318346154001</v>
      </c>
      <c r="F14" s="8">
        <f>CategoriesScored!F12</f>
        <v>85.572487118865752</v>
      </c>
      <c r="G14" s="8">
        <f t="shared" si="0"/>
        <v>30</v>
      </c>
      <c r="H14" s="8">
        <f t="shared" si="1"/>
        <v>13</v>
      </c>
      <c r="I14" s="8">
        <f t="shared" si="2"/>
        <v>14</v>
      </c>
      <c r="J14" s="8">
        <f t="shared" si="3"/>
        <v>33</v>
      </c>
      <c r="K14" s="8">
        <f t="shared" si="4"/>
        <v>9</v>
      </c>
      <c r="L14" s="8">
        <f t="shared" si="5"/>
        <v>68.886740643099827</v>
      </c>
      <c r="M14" s="8">
        <f t="shared" si="6"/>
        <v>20</v>
      </c>
      <c r="N14">
        <f>(Categories!B13+Categories!C13+Categories!D13+Categories!E13+Categories!F13)/5</f>
        <v>-2.6775983537896376E-2</v>
      </c>
    </row>
    <row r="15" spans="1:14" x14ac:dyDescent="0.3">
      <c r="A15" s="6" t="str">
        <f>RawData!A13</f>
        <v>Denmark</v>
      </c>
      <c r="B15" s="8">
        <f>CategoriesScored!B13</f>
        <v>66.358844682868551</v>
      </c>
      <c r="C15" s="8">
        <f>CategoriesScored!C13</f>
        <v>55.022572787224725</v>
      </c>
      <c r="D15" s="8">
        <f>CategoriesScored!D13</f>
        <v>69.074568038446699</v>
      </c>
      <c r="E15" s="8">
        <f>CategoriesScored!E13</f>
        <v>48.56734088535341</v>
      </c>
      <c r="F15" s="8">
        <f>CategoriesScored!F13</f>
        <v>60.766707804542207</v>
      </c>
      <c r="G15" s="8">
        <f t="shared" si="0"/>
        <v>17</v>
      </c>
      <c r="H15" s="8">
        <f t="shared" si="1"/>
        <v>19</v>
      </c>
      <c r="I15" s="8">
        <f t="shared" si="2"/>
        <v>13</v>
      </c>
      <c r="J15" s="8">
        <f t="shared" si="3"/>
        <v>36</v>
      </c>
      <c r="K15" s="8">
        <f t="shared" si="4"/>
        <v>34</v>
      </c>
      <c r="L15" s="8">
        <f t="shared" si="5"/>
        <v>64.290688147939306</v>
      </c>
      <c r="M15" s="8">
        <f t="shared" si="6"/>
        <v>27</v>
      </c>
      <c r="N15">
        <f>(Categories!B14+Categories!C14+Categories!D14+Categories!E14+Categories!F14)/5</f>
        <v>-0.12718863458500157</v>
      </c>
    </row>
    <row r="16" spans="1:14" x14ac:dyDescent="0.3">
      <c r="A16" s="6" t="str">
        <f>RawData!A14</f>
        <v>Estonia</v>
      </c>
      <c r="B16" s="8">
        <f>CategoriesScored!B14</f>
        <v>94.82449882615569</v>
      </c>
      <c r="C16" s="8">
        <f>CategoriesScored!C14</f>
        <v>52.980448605559907</v>
      </c>
      <c r="D16" s="8">
        <f>CategoriesScored!D14</f>
        <v>100</v>
      </c>
      <c r="E16" s="8">
        <f>CategoriesScored!E14</f>
        <v>99.439862513006545</v>
      </c>
      <c r="F16" s="8">
        <f>CategoriesScored!F14</f>
        <v>86.246313518534251</v>
      </c>
      <c r="G16" s="8">
        <f t="shared" si="0"/>
        <v>2</v>
      </c>
      <c r="H16" s="8">
        <f t="shared" si="1"/>
        <v>22</v>
      </c>
      <c r="I16" s="8">
        <f t="shared" si="2"/>
        <v>1</v>
      </c>
      <c r="J16" s="8">
        <f t="shared" si="3"/>
        <v>2</v>
      </c>
      <c r="K16" s="8">
        <f t="shared" si="4"/>
        <v>7</v>
      </c>
      <c r="L16" s="8">
        <f t="shared" si="5"/>
        <v>100</v>
      </c>
      <c r="M16" s="8">
        <f t="shared" si="6"/>
        <v>1</v>
      </c>
      <c r="N16">
        <f>(Categories!B15+Categories!C15+Categories!D15+Categories!E15+Categories!F15)/5</f>
        <v>0.6529736185460947</v>
      </c>
    </row>
    <row r="17" spans="1:14" x14ac:dyDescent="0.3">
      <c r="A17" s="6" t="str">
        <f>RawData!A15</f>
        <v>Spain</v>
      </c>
      <c r="B17" s="8">
        <f>CategoriesScored!B15</f>
        <v>52.758515254501113</v>
      </c>
      <c r="C17" s="8">
        <f>CategoriesScored!C15</f>
        <v>56.810211146901921</v>
      </c>
      <c r="D17" s="8">
        <f>CategoriesScored!D15</f>
        <v>36.362529934703105</v>
      </c>
      <c r="E17" s="8">
        <f>CategoriesScored!E15</f>
        <v>63.043330733327942</v>
      </c>
      <c r="F17" s="8">
        <f>CategoriesScored!F15</f>
        <v>74.395958397716484</v>
      </c>
      <c r="G17" s="8">
        <f t="shared" si="0"/>
        <v>33</v>
      </c>
      <c r="H17" s="8">
        <f t="shared" si="1"/>
        <v>18</v>
      </c>
      <c r="I17" s="8">
        <f t="shared" si="2"/>
        <v>35</v>
      </c>
      <c r="J17" s="8">
        <f t="shared" si="3"/>
        <v>18</v>
      </c>
      <c r="K17" s="8">
        <f t="shared" si="4"/>
        <v>17</v>
      </c>
      <c r="L17" s="8">
        <f t="shared" si="5"/>
        <v>57.910287954676811</v>
      </c>
      <c r="M17" s="8">
        <f t="shared" si="6"/>
        <v>34</v>
      </c>
      <c r="N17">
        <f>(Categories!B16+Categories!C16+Categories!D16+Categories!E16+Categories!F16)/5</f>
        <v>-0.26658497499267864</v>
      </c>
    </row>
    <row r="18" spans="1:14" x14ac:dyDescent="0.3">
      <c r="A18" s="6" t="str">
        <f>RawData!A16</f>
        <v>Finland</v>
      </c>
      <c r="B18" s="8">
        <f>CategoriesScored!B16</f>
        <v>73.905566617409136</v>
      </c>
      <c r="C18" s="8">
        <f>CategoriesScored!C16</f>
        <v>46.823357815885345</v>
      </c>
      <c r="D18" s="8">
        <f>CategoriesScored!D16</f>
        <v>60.677887114333998</v>
      </c>
      <c r="E18" s="8">
        <f>CategoriesScored!E16</f>
        <v>57.260979577181224</v>
      </c>
      <c r="F18" s="8">
        <f>CategoriesScored!F16</f>
        <v>72.199136010427523</v>
      </c>
      <c r="G18" s="8">
        <f t="shared" si="0"/>
        <v>7</v>
      </c>
      <c r="H18" s="8">
        <f t="shared" si="1"/>
        <v>28</v>
      </c>
      <c r="I18" s="8">
        <f t="shared" si="2"/>
        <v>19</v>
      </c>
      <c r="J18" s="8">
        <f t="shared" si="3"/>
        <v>28</v>
      </c>
      <c r="K18" s="8">
        <f t="shared" si="4"/>
        <v>19</v>
      </c>
      <c r="L18" s="8">
        <f t="shared" si="5"/>
        <v>66.792504786745837</v>
      </c>
      <c r="M18" s="8">
        <f t="shared" si="6"/>
        <v>24</v>
      </c>
      <c r="N18">
        <f>(Categories!B17+Categories!C17+Categories!D17+Categories!E17+Categories!F17)/5</f>
        <v>-7.2529981011996952E-2</v>
      </c>
    </row>
    <row r="19" spans="1:14" x14ac:dyDescent="0.3">
      <c r="A19" s="6" t="str">
        <f>RawData!A17</f>
        <v>France</v>
      </c>
      <c r="B19" s="8">
        <f>CategoriesScored!B17</f>
        <v>28.536087471213449</v>
      </c>
      <c r="C19" s="8">
        <f>CategoriesScored!C17</f>
        <v>42.699312134034642</v>
      </c>
      <c r="D19" s="8">
        <f>CategoriesScored!D17</f>
        <v>40.543580731434517</v>
      </c>
      <c r="E19" s="8">
        <f>CategoriesScored!E17</f>
        <v>50.669994447743562</v>
      </c>
      <c r="F19" s="8">
        <f>CategoriesScored!F17</f>
        <v>80.352959880366882</v>
      </c>
      <c r="G19" s="8">
        <f t="shared" si="0"/>
        <v>38</v>
      </c>
      <c r="H19" s="8">
        <f t="shared" si="1"/>
        <v>31</v>
      </c>
      <c r="I19" s="8">
        <f t="shared" si="2"/>
        <v>34</v>
      </c>
      <c r="J19" s="8">
        <f t="shared" si="3"/>
        <v>31</v>
      </c>
      <c r="K19" s="8">
        <f t="shared" si="4"/>
        <v>12</v>
      </c>
      <c r="L19" s="8">
        <f t="shared" si="5"/>
        <v>45.771647767814017</v>
      </c>
      <c r="M19" s="8">
        <f t="shared" si="6"/>
        <v>38</v>
      </c>
      <c r="N19">
        <f>(Categories!B18+Categories!C18+Categories!D18+Categories!E18+Categories!F18)/5</f>
        <v>-0.53178495748923449</v>
      </c>
    </row>
    <row r="20" spans="1:14" x14ac:dyDescent="0.3">
      <c r="A20" s="6" t="str">
        <f>RawData!A18</f>
        <v>United Kingdom</v>
      </c>
      <c r="B20" s="8">
        <f>CategoriesScored!B18</f>
        <v>57.595454868097626</v>
      </c>
      <c r="C20" s="8">
        <f>CategoriesScored!C18</f>
        <v>40.560415139152482</v>
      </c>
      <c r="D20" s="8">
        <f>CategoriesScored!D18</f>
        <v>35.005044936245902</v>
      </c>
      <c r="E20" s="8">
        <f>CategoriesScored!E18</f>
        <v>58.518383710515224</v>
      </c>
      <c r="F20" s="8">
        <f>CategoriesScored!F18</f>
        <v>97.556304913982942</v>
      </c>
      <c r="G20" s="8">
        <f t="shared" si="0"/>
        <v>28</v>
      </c>
      <c r="H20" s="8">
        <f t="shared" si="1"/>
        <v>33</v>
      </c>
      <c r="I20" s="8">
        <f t="shared" si="2"/>
        <v>37</v>
      </c>
      <c r="J20" s="8">
        <f t="shared" si="3"/>
        <v>25</v>
      </c>
      <c r="K20" s="8">
        <f t="shared" si="4"/>
        <v>2</v>
      </c>
      <c r="L20" s="8">
        <f t="shared" si="5"/>
        <v>59.062778985367736</v>
      </c>
      <c r="M20" s="8">
        <f t="shared" si="6"/>
        <v>32</v>
      </c>
      <c r="N20">
        <f>(Categories!B19+Categories!C19+Categories!D19+Categories!E19+Categories!F19)/5</f>
        <v>-0.24140582836162056</v>
      </c>
    </row>
    <row r="21" spans="1:14" x14ac:dyDescent="0.3">
      <c r="A21" s="6" t="str">
        <f>RawData!A19</f>
        <v>Greece</v>
      </c>
      <c r="B21" s="8">
        <f>CategoriesScored!B19</f>
        <v>66.904527240587754</v>
      </c>
      <c r="C21" s="8">
        <f>CategoriesScored!C19</f>
        <v>44.128946829530982</v>
      </c>
      <c r="D21" s="8">
        <f>CategoriesScored!D19</f>
        <v>47.812990537178614</v>
      </c>
      <c r="E21" s="8">
        <f>CategoriesScored!E19</f>
        <v>90.324987070452977</v>
      </c>
      <c r="F21" s="8">
        <f>CategoriesScored!F19</f>
        <v>69.286544844272768</v>
      </c>
      <c r="G21" s="8">
        <f t="shared" si="0"/>
        <v>16</v>
      </c>
      <c r="H21" s="8">
        <f t="shared" si="1"/>
        <v>30</v>
      </c>
      <c r="I21" s="8">
        <f t="shared" si="2"/>
        <v>29</v>
      </c>
      <c r="J21" s="8">
        <f t="shared" si="3"/>
        <v>4</v>
      </c>
      <c r="K21" s="8">
        <f t="shared" si="4"/>
        <v>23</v>
      </c>
      <c r="L21" s="8">
        <f t="shared" si="5"/>
        <v>67.022451289095713</v>
      </c>
      <c r="M21" s="8">
        <f t="shared" si="6"/>
        <v>23</v>
      </c>
      <c r="N21">
        <f>(Categories!B20+Categories!C20+Categories!D20+Categories!E20+Categories!F20)/5</f>
        <v>-6.7506205081614978E-2</v>
      </c>
    </row>
    <row r="22" spans="1:14" x14ac:dyDescent="0.3">
      <c r="A22" s="6" t="str">
        <f>RawData!A20</f>
        <v>Hungary</v>
      </c>
      <c r="B22" s="8">
        <f>CategoriesScored!B20</f>
        <v>83.406621087330109</v>
      </c>
      <c r="C22" s="8">
        <f>CategoriesScored!C20</f>
        <v>30.793526738666277</v>
      </c>
      <c r="D22" s="8">
        <f>CategoriesScored!D20</f>
        <v>59.484546052075025</v>
      </c>
      <c r="E22" s="8">
        <f>CategoriesScored!E20</f>
        <v>92.296798384584079</v>
      </c>
      <c r="F22" s="8">
        <f>CategoriesScored!F20</f>
        <v>95.205795108435993</v>
      </c>
      <c r="G22" s="8">
        <f t="shared" si="0"/>
        <v>4</v>
      </c>
      <c r="H22" s="8">
        <f t="shared" si="1"/>
        <v>38</v>
      </c>
      <c r="I22" s="8">
        <f t="shared" si="2"/>
        <v>22</v>
      </c>
      <c r="J22" s="8">
        <f t="shared" si="3"/>
        <v>3</v>
      </c>
      <c r="K22" s="8">
        <f t="shared" si="4"/>
        <v>4</v>
      </c>
      <c r="L22" s="8">
        <f t="shared" si="5"/>
        <v>78.732951239657297</v>
      </c>
      <c r="M22" s="8">
        <f t="shared" si="6"/>
        <v>9</v>
      </c>
      <c r="N22">
        <f>(Categories!B21+Categories!C21+Categories!D21+Categories!E21+Categories!F21)/5</f>
        <v>0.18833994688489222</v>
      </c>
    </row>
    <row r="23" spans="1:14" x14ac:dyDescent="0.3">
      <c r="A23" s="6" t="str">
        <f>RawData!A21</f>
        <v>Ireland</v>
      </c>
      <c r="B23" s="8">
        <f>CategoriesScored!B21</f>
        <v>80.134331525033204</v>
      </c>
      <c r="C23" s="8">
        <f>CategoriesScored!C21</f>
        <v>34.99796079126169</v>
      </c>
      <c r="D23" s="8">
        <f>CategoriesScored!D21</f>
        <v>61.835527150240779</v>
      </c>
      <c r="E23" s="8">
        <f>CategoriesScored!E21</f>
        <v>44.113208173239606</v>
      </c>
      <c r="F23" s="8">
        <f>CategoriesScored!F21</f>
        <v>67.355959179942147</v>
      </c>
      <c r="G23" s="8">
        <f t="shared" si="0"/>
        <v>5</v>
      </c>
      <c r="H23" s="8">
        <f t="shared" si="1"/>
        <v>36</v>
      </c>
      <c r="I23" s="8">
        <f t="shared" si="2"/>
        <v>18</v>
      </c>
      <c r="J23" s="8">
        <f t="shared" si="3"/>
        <v>37</v>
      </c>
      <c r="K23" s="8">
        <f t="shared" si="4"/>
        <v>28</v>
      </c>
      <c r="L23" s="8">
        <f t="shared" si="5"/>
        <v>61.314929213295287</v>
      </c>
      <c r="M23" s="8">
        <f t="shared" si="6"/>
        <v>31</v>
      </c>
      <c r="N23">
        <f>(Categories!B22+Categories!C22+Categories!D22+Categories!E22+Categories!F22)/5</f>
        <v>-0.1922017831117743</v>
      </c>
    </row>
    <row r="24" spans="1:14" x14ac:dyDescent="0.3">
      <c r="A24" s="6" t="str">
        <f>RawData!A22</f>
        <v>Israel</v>
      </c>
      <c r="B24" s="8">
        <f>CategoriesScored!B22</f>
        <v>69.927793510846385</v>
      </c>
      <c r="C24" s="8">
        <f>CategoriesScored!C22</f>
        <v>69.847323771608259</v>
      </c>
      <c r="D24" s="8">
        <f>CategoriesScored!D22</f>
        <v>78.098334635841667</v>
      </c>
      <c r="E24" s="8">
        <f>CategoriesScored!E22</f>
        <v>50.41838180619915</v>
      </c>
      <c r="F24" s="8">
        <f>CategoriesScored!F22</f>
        <v>84.409415501252425</v>
      </c>
      <c r="G24" s="8">
        <f t="shared" si="0"/>
        <v>11</v>
      </c>
      <c r="H24" s="8">
        <f t="shared" si="1"/>
        <v>11</v>
      </c>
      <c r="I24" s="8">
        <f t="shared" si="2"/>
        <v>5</v>
      </c>
      <c r="J24" s="8">
        <f t="shared" si="3"/>
        <v>32</v>
      </c>
      <c r="K24" s="8">
        <f t="shared" si="4"/>
        <v>10</v>
      </c>
      <c r="L24" s="8">
        <f t="shared" si="5"/>
        <v>78.858911370845092</v>
      </c>
      <c r="M24" s="8">
        <f t="shared" si="6"/>
        <v>8</v>
      </c>
      <c r="N24">
        <f>(Categories!B23+Categories!C23+Categories!D23+Categories!E23+Categories!F23)/5</f>
        <v>0.19109187165340305</v>
      </c>
    </row>
    <row r="25" spans="1:14" x14ac:dyDescent="0.3">
      <c r="A25" s="6" t="str">
        <f>RawData!A23</f>
        <v>Iceland</v>
      </c>
      <c r="B25" s="8">
        <f>CategoriesScored!B23</f>
        <v>67.217078183867613</v>
      </c>
      <c r="C25" s="8">
        <f>CategoriesScored!C23</f>
        <v>50.842656352210291</v>
      </c>
      <c r="D25" s="8">
        <f>CategoriesScored!D23</f>
        <v>52.32621002443689</v>
      </c>
      <c r="E25" s="8">
        <f>CategoriesScored!E23</f>
        <v>62.088674148340864</v>
      </c>
      <c r="F25" s="8">
        <f>CategoriesScored!F23</f>
        <v>68.667209555059173</v>
      </c>
      <c r="G25" s="8">
        <f t="shared" si="0"/>
        <v>15</v>
      </c>
      <c r="H25" s="8">
        <f t="shared" si="1"/>
        <v>24</v>
      </c>
      <c r="I25" s="8">
        <f t="shared" si="2"/>
        <v>27</v>
      </c>
      <c r="J25" s="8">
        <f t="shared" si="3"/>
        <v>20</v>
      </c>
      <c r="K25" s="8">
        <f t="shared" si="4"/>
        <v>26</v>
      </c>
      <c r="L25" s="8">
        <f t="shared" si="5"/>
        <v>63.676040294852932</v>
      </c>
      <c r="M25" s="8">
        <f t="shared" si="6"/>
        <v>29</v>
      </c>
      <c r="N25">
        <f>(Categories!B24+Categories!C24+Categories!D24+Categories!E24+Categories!F24)/5</f>
        <v>-0.14061720626772328</v>
      </c>
    </row>
    <row r="26" spans="1:14" x14ac:dyDescent="0.3">
      <c r="A26" s="6" t="str">
        <f>RawData!A24</f>
        <v>Italy</v>
      </c>
      <c r="B26" s="8">
        <f>CategoriesScored!B24</f>
        <v>57.900286320897351</v>
      </c>
      <c r="C26" s="8">
        <f>CategoriesScored!C24</f>
        <v>31.093961924564262</v>
      </c>
      <c r="D26" s="8">
        <f>CategoriesScored!D24</f>
        <v>31.927173890838041</v>
      </c>
      <c r="E26" s="8">
        <f>CategoriesScored!E24</f>
        <v>65.604119930630532</v>
      </c>
      <c r="F26" s="8">
        <f>CategoriesScored!F24</f>
        <v>70.674569718386394</v>
      </c>
      <c r="G26" s="8">
        <f t="shared" si="0"/>
        <v>27</v>
      </c>
      <c r="H26" s="8">
        <f t="shared" si="1"/>
        <v>37</v>
      </c>
      <c r="I26" s="8">
        <f t="shared" si="2"/>
        <v>38</v>
      </c>
      <c r="J26" s="8">
        <f t="shared" si="3"/>
        <v>16</v>
      </c>
      <c r="K26" s="8">
        <f t="shared" si="4"/>
        <v>20</v>
      </c>
      <c r="L26" s="8">
        <f t="shared" si="5"/>
        <v>50.295762831359085</v>
      </c>
      <c r="M26" s="8">
        <f t="shared" si="6"/>
        <v>37</v>
      </c>
      <c r="N26">
        <f>(Categories!B25+Categories!C25+Categories!D25+Categories!E25+Categories!F25)/5</f>
        <v>-0.43294396564872734</v>
      </c>
    </row>
    <row r="27" spans="1:14" x14ac:dyDescent="0.3">
      <c r="A27" s="6" t="str">
        <f>RawData!A25</f>
        <v>Japan</v>
      </c>
      <c r="B27" s="8">
        <f>CategoriesScored!B25</f>
        <v>47.968737524056046</v>
      </c>
      <c r="C27" s="8">
        <f>CategoriesScored!C25</f>
        <v>89.29029782381555</v>
      </c>
      <c r="D27" s="8">
        <f>CategoriesScored!D25</f>
        <v>58.842419726125136</v>
      </c>
      <c r="E27" s="8">
        <f>CategoriesScored!E25</f>
        <v>49.104867901736846</v>
      </c>
      <c r="F27" s="8">
        <f>CategoriesScored!F25</f>
        <v>68.734106182484993</v>
      </c>
      <c r="G27" s="8">
        <f t="shared" si="0"/>
        <v>35</v>
      </c>
      <c r="H27" s="8">
        <f t="shared" si="1"/>
        <v>5</v>
      </c>
      <c r="I27" s="8">
        <f t="shared" si="2"/>
        <v>23</v>
      </c>
      <c r="J27" s="8">
        <f t="shared" si="3"/>
        <v>34</v>
      </c>
      <c r="K27" s="8">
        <f t="shared" si="4"/>
        <v>25</v>
      </c>
      <c r="L27" s="8">
        <f t="shared" si="5"/>
        <v>67.790869371957939</v>
      </c>
      <c r="M27" s="8">
        <f t="shared" si="6"/>
        <v>22</v>
      </c>
      <c r="N27">
        <f>(Categories!B26+Categories!C26+Categories!D26+Categories!E26+Categories!F26)/5</f>
        <v>-5.0718125116475873E-2</v>
      </c>
    </row>
    <row r="28" spans="1:14" x14ac:dyDescent="0.3">
      <c r="A28" s="6" t="str">
        <f>RawData!A26</f>
        <v>Korea</v>
      </c>
      <c r="B28" s="8">
        <f>CategoriesScored!B26</f>
        <v>59.879686123514865</v>
      </c>
      <c r="C28" s="8">
        <f>CategoriesScored!C26</f>
        <v>92.941959484681362</v>
      </c>
      <c r="D28" s="8">
        <f>CategoriesScored!D26</f>
        <v>46.338571323776087</v>
      </c>
      <c r="E28" s="8">
        <f>CategoriesScored!E26</f>
        <v>39.286464055237126</v>
      </c>
      <c r="F28" s="8">
        <f>CategoriesScored!F26</f>
        <v>66.849410374785521</v>
      </c>
      <c r="G28" s="8">
        <f t="shared" si="0"/>
        <v>25</v>
      </c>
      <c r="H28" s="8">
        <f t="shared" si="1"/>
        <v>3</v>
      </c>
      <c r="I28" s="8">
        <f t="shared" si="2"/>
        <v>31</v>
      </c>
      <c r="J28" s="8">
        <f t="shared" si="3"/>
        <v>38</v>
      </c>
      <c r="K28" s="8">
        <f t="shared" si="4"/>
        <v>29</v>
      </c>
      <c r="L28" s="8">
        <f t="shared" si="5"/>
        <v>66.346349839781738</v>
      </c>
      <c r="M28" s="8">
        <f t="shared" si="6"/>
        <v>26</v>
      </c>
      <c r="N28">
        <f>(Categories!B27+Categories!C27+Categories!D27+Categories!E27+Categories!F27)/5</f>
        <v>-8.227738947820093E-2</v>
      </c>
    </row>
    <row r="29" spans="1:14" x14ac:dyDescent="0.3">
      <c r="A29" s="6" t="str">
        <f>RawData!A27</f>
        <v>Lithuania</v>
      </c>
      <c r="B29" s="8">
        <f>CategoriesScored!B27</f>
        <v>83.604015633236244</v>
      </c>
      <c r="C29" s="8">
        <f>CategoriesScored!C27</f>
        <v>50.778717889536765</v>
      </c>
      <c r="D29" s="8">
        <f>CategoriesScored!D27</f>
        <v>74.524613960999559</v>
      </c>
      <c r="E29" s="8">
        <f>CategoriesScored!E27</f>
        <v>81.043641295956874</v>
      </c>
      <c r="F29" s="8">
        <f>CategoriesScored!F27</f>
        <v>77.095079960928231</v>
      </c>
      <c r="G29" s="8">
        <f t="shared" si="0"/>
        <v>3</v>
      </c>
      <c r="H29" s="8">
        <f t="shared" si="1"/>
        <v>25</v>
      </c>
      <c r="I29" s="8">
        <f t="shared" si="2"/>
        <v>10</v>
      </c>
      <c r="J29" s="8">
        <f t="shared" si="3"/>
        <v>9</v>
      </c>
      <c r="K29" s="8">
        <f t="shared" si="4"/>
        <v>15</v>
      </c>
      <c r="L29" s="8">
        <f t="shared" si="5"/>
        <v>81.833497040113272</v>
      </c>
      <c r="M29" s="8">
        <f t="shared" si="6"/>
        <v>5</v>
      </c>
      <c r="N29">
        <f>(Categories!B28+Categories!C28+Categories!D28+Categories!E28+Categories!F28)/5</f>
        <v>0.25607938716425727</v>
      </c>
    </row>
    <row r="30" spans="1:14" x14ac:dyDescent="0.3">
      <c r="A30" s="6" t="str">
        <f>RawData!A28</f>
        <v>Luxembourg</v>
      </c>
      <c r="B30" s="8">
        <f>CategoriesScored!B28</f>
        <v>63.162806637639925</v>
      </c>
      <c r="C30" s="8">
        <f>CategoriesScored!C28</f>
        <v>82.771720623427839</v>
      </c>
      <c r="D30" s="8">
        <f>CategoriesScored!D28</f>
        <v>64.352610258067386</v>
      </c>
      <c r="E30" s="8">
        <f>CategoriesScored!E28</f>
        <v>60.861317225026433</v>
      </c>
      <c r="F30" s="8">
        <f>CategoriesScored!F28</f>
        <v>92.031989815386709</v>
      </c>
      <c r="G30" s="8">
        <f t="shared" si="0"/>
        <v>20</v>
      </c>
      <c r="H30" s="8">
        <f t="shared" si="1"/>
        <v>8</v>
      </c>
      <c r="I30" s="8">
        <f t="shared" si="2"/>
        <v>16</v>
      </c>
      <c r="J30" s="8">
        <f t="shared" si="3"/>
        <v>22</v>
      </c>
      <c r="K30" s="8">
        <f t="shared" si="4"/>
        <v>5</v>
      </c>
      <c r="L30" s="8">
        <f t="shared" si="5"/>
        <v>80.956649787862517</v>
      </c>
      <c r="M30" s="8">
        <f t="shared" si="6"/>
        <v>6</v>
      </c>
      <c r="N30">
        <f>(Categories!B29+Categories!C29+Categories!D29+Categories!E29+Categories!F29)/5</f>
        <v>0.23692239162197906</v>
      </c>
    </row>
    <row r="31" spans="1:14" x14ac:dyDescent="0.3">
      <c r="A31" s="6" t="str">
        <f>RawData!A29</f>
        <v>Latvia</v>
      </c>
      <c r="B31" s="8">
        <f>CategoriesScored!B29</f>
        <v>100</v>
      </c>
      <c r="C31" s="8">
        <f>CategoriesScored!C29</f>
        <v>53.609559096861062</v>
      </c>
      <c r="D31" s="8">
        <f>CategoriesScored!D29</f>
        <v>77.177326899591932</v>
      </c>
      <c r="E31" s="8">
        <f>CategoriesScored!E29</f>
        <v>85.583237412154702</v>
      </c>
      <c r="F31" s="8">
        <f>CategoriesScored!F29</f>
        <v>89.278786486165018</v>
      </c>
      <c r="G31" s="8">
        <f t="shared" si="0"/>
        <v>1</v>
      </c>
      <c r="H31" s="8">
        <f t="shared" si="1"/>
        <v>20</v>
      </c>
      <c r="I31" s="8">
        <f t="shared" si="2"/>
        <v>7</v>
      </c>
      <c r="J31" s="8">
        <f t="shared" si="3"/>
        <v>7</v>
      </c>
      <c r="K31" s="8">
        <f t="shared" si="4"/>
        <v>6</v>
      </c>
      <c r="L31" s="8">
        <f t="shared" si="5"/>
        <v>92.843935234848814</v>
      </c>
      <c r="M31" s="8">
        <f t="shared" si="6"/>
        <v>2</v>
      </c>
      <c r="N31">
        <f>(Categories!B30+Categories!C30+Categories!D30+Categories!E30+Categories!F30)/5</f>
        <v>0.49663087988281196</v>
      </c>
    </row>
    <row r="32" spans="1:14" x14ac:dyDescent="0.3">
      <c r="A32" s="6" t="str">
        <f>RawData!A30</f>
        <v>Mexico</v>
      </c>
      <c r="B32" s="8">
        <f>CategoriesScored!B30</f>
        <v>58.35910070984265</v>
      </c>
      <c r="C32" s="8">
        <f>CategoriesScored!C30</f>
        <v>65.762877096579075</v>
      </c>
      <c r="D32" s="8">
        <f>CategoriesScored!D30</f>
        <v>81.356388560290171</v>
      </c>
      <c r="E32" s="8">
        <f>CategoriesScored!E30</f>
        <v>71.045617668074328</v>
      </c>
      <c r="F32" s="8">
        <f>CategoriesScored!F30</f>
        <v>46.769614328976942</v>
      </c>
      <c r="G32" s="8">
        <f t="shared" si="0"/>
        <v>26</v>
      </c>
      <c r="H32" s="8">
        <f t="shared" si="1"/>
        <v>12</v>
      </c>
      <c r="I32" s="8">
        <f t="shared" si="2"/>
        <v>3</v>
      </c>
      <c r="J32" s="8">
        <f t="shared" si="3"/>
        <v>14</v>
      </c>
      <c r="K32" s="8">
        <f t="shared" si="4"/>
        <v>36</v>
      </c>
      <c r="L32" s="8">
        <f t="shared" si="5"/>
        <v>70.125859522052508</v>
      </c>
      <c r="M32" s="8">
        <f t="shared" si="6"/>
        <v>18</v>
      </c>
      <c r="N32">
        <f>(Categories!B31+Categories!C31+Categories!D31+Categories!E31+Categories!F31)/5</f>
        <v>2.9577243729514977E-4</v>
      </c>
    </row>
    <row r="33" spans="1:14" x14ac:dyDescent="0.3">
      <c r="A33" s="6" t="str">
        <f>RawData!A31</f>
        <v>Netherlands</v>
      </c>
      <c r="B33" s="8">
        <f>CategoriesScored!B31</f>
        <v>60.893080418687752</v>
      </c>
      <c r="C33" s="8">
        <f>CategoriesScored!C31</f>
        <v>59.083423550751903</v>
      </c>
      <c r="D33" s="8">
        <f>CategoriesScored!D31</f>
        <v>59.925769460880637</v>
      </c>
      <c r="E33" s="8">
        <f>CategoriesScored!E31</f>
        <v>55.075137636938301</v>
      </c>
      <c r="F33" s="8">
        <f>CategoriesScored!F31</f>
        <v>95.420274357159144</v>
      </c>
      <c r="G33" s="8">
        <f t="shared" si="0"/>
        <v>23</v>
      </c>
      <c r="H33" s="8">
        <f t="shared" si="1"/>
        <v>14</v>
      </c>
      <c r="I33" s="8">
        <f t="shared" si="2"/>
        <v>21</v>
      </c>
      <c r="J33" s="8">
        <f t="shared" si="3"/>
        <v>30</v>
      </c>
      <c r="K33" s="8">
        <f t="shared" si="4"/>
        <v>3</v>
      </c>
      <c r="L33" s="8">
        <f t="shared" si="5"/>
        <v>71.428410671032211</v>
      </c>
      <c r="M33" s="8">
        <f t="shared" si="6"/>
        <v>16</v>
      </c>
      <c r="N33">
        <f>(Categories!B32+Categories!C32+Categories!D32+Categories!E32+Categories!F32)/5</f>
        <v>2.8753370371876086E-2</v>
      </c>
    </row>
    <row r="34" spans="1:14" x14ac:dyDescent="0.3">
      <c r="A34" s="6" t="str">
        <f>RawData!A32</f>
        <v>Norway</v>
      </c>
      <c r="B34" s="8">
        <f>CategoriesScored!B32</f>
        <v>68.348528709649798</v>
      </c>
      <c r="C34" s="8">
        <f>CategoriesScored!C32</f>
        <v>51.677543462680177</v>
      </c>
      <c r="D34" s="8">
        <f>CategoriesScored!D32</f>
        <v>64.937175734569635</v>
      </c>
      <c r="E34" s="8">
        <f>CategoriesScored!E32</f>
        <v>55.400433556407314</v>
      </c>
      <c r="F34" s="8">
        <f>CategoriesScored!F32</f>
        <v>78.454467063487215</v>
      </c>
      <c r="G34" s="8">
        <f t="shared" si="0"/>
        <v>13</v>
      </c>
      <c r="H34" s="8">
        <f t="shared" si="1"/>
        <v>23</v>
      </c>
      <c r="I34" s="8">
        <f t="shared" si="2"/>
        <v>15</v>
      </c>
      <c r="J34" s="8">
        <f t="shared" si="3"/>
        <v>29</v>
      </c>
      <c r="K34" s="8">
        <f t="shared" si="4"/>
        <v>14</v>
      </c>
      <c r="L34" s="8">
        <f t="shared" si="5"/>
        <v>68.827396890169894</v>
      </c>
      <c r="M34" s="8">
        <f t="shared" si="6"/>
        <v>21</v>
      </c>
      <c r="N34">
        <f>(Categories!B33+Categories!C33+Categories!D33+Categories!E33+Categories!F33)/5</f>
        <v>-2.807250126937445E-2</v>
      </c>
    </row>
    <row r="35" spans="1:14" x14ac:dyDescent="0.3">
      <c r="A35" s="6" t="str">
        <f>RawData!A33</f>
        <v>New Zealand</v>
      </c>
      <c r="B35" s="8">
        <f>CategoriesScored!B33</f>
        <v>53.738214127198347</v>
      </c>
      <c r="C35" s="8">
        <f>CategoriesScored!C33</f>
        <v>100</v>
      </c>
      <c r="D35" s="8">
        <f>CategoriesScored!D33</f>
        <v>79.994523709377646</v>
      </c>
      <c r="E35" s="8">
        <f>CategoriesScored!E33</f>
        <v>86.488105932511644</v>
      </c>
      <c r="F35" s="8">
        <f>CategoriesScored!F33</f>
        <v>69.571541632287776</v>
      </c>
      <c r="G35" s="8">
        <f t="shared" si="0"/>
        <v>31</v>
      </c>
      <c r="H35" s="8">
        <f t="shared" si="1"/>
        <v>1</v>
      </c>
      <c r="I35" s="8">
        <f t="shared" si="2"/>
        <v>4</v>
      </c>
      <c r="J35" s="8">
        <f t="shared" si="3"/>
        <v>6</v>
      </c>
      <c r="K35" s="8">
        <f t="shared" si="4"/>
        <v>22</v>
      </c>
      <c r="L35" s="8">
        <f t="shared" si="5"/>
        <v>87.81362753814858</v>
      </c>
      <c r="M35" s="8">
        <f t="shared" si="6"/>
        <v>3</v>
      </c>
      <c r="N35">
        <f>(Categories!B34+Categories!C34+Categories!D34+Categories!E34+Categories!F34)/5</f>
        <v>0.38673080107818814</v>
      </c>
    </row>
    <row r="36" spans="1:14" x14ac:dyDescent="0.3">
      <c r="A36" s="6" t="str">
        <f>RawData!A34</f>
        <v>Poland</v>
      </c>
      <c r="B36" s="8">
        <f>CategoriesScored!B34</f>
        <v>67.987685619449437</v>
      </c>
      <c r="C36" s="8">
        <f>CategoriesScored!C34</f>
        <v>35.8125132305534</v>
      </c>
      <c r="D36" s="8">
        <f>CategoriesScored!D34</f>
        <v>51.198427064644072</v>
      </c>
      <c r="E36" s="8">
        <f>CategoriesScored!E34</f>
        <v>48.918561142241288</v>
      </c>
      <c r="F36" s="8">
        <f>CategoriesScored!F34</f>
        <v>63.338905710671447</v>
      </c>
      <c r="G36" s="8">
        <f t="shared" si="0"/>
        <v>14</v>
      </c>
      <c r="H36" s="8">
        <f t="shared" si="1"/>
        <v>35</v>
      </c>
      <c r="I36" s="8">
        <f t="shared" si="2"/>
        <v>28</v>
      </c>
      <c r="J36" s="8">
        <f t="shared" si="3"/>
        <v>35</v>
      </c>
      <c r="K36" s="8">
        <f t="shared" si="4"/>
        <v>31</v>
      </c>
      <c r="L36" s="8">
        <f t="shared" si="5"/>
        <v>54.711228294748523</v>
      </c>
      <c r="M36" s="8">
        <f t="shared" si="6"/>
        <v>35</v>
      </c>
      <c r="N36">
        <f>(Categories!B35+Categories!C35+Categories!D35+Categories!E35+Categories!F35)/5</f>
        <v>-0.33647670526544826</v>
      </c>
    </row>
    <row r="37" spans="1:14" x14ac:dyDescent="0.3">
      <c r="A37" s="6" t="str">
        <f>RawData!A35</f>
        <v>Portugal</v>
      </c>
      <c r="B37" s="8">
        <f>CategoriesScored!B35</f>
        <v>45.316341197870067</v>
      </c>
      <c r="C37" s="8">
        <f>CategoriesScored!C35</f>
        <v>53.438640054396544</v>
      </c>
      <c r="D37" s="8">
        <f>CategoriesScored!D35</f>
        <v>60.634194655911955</v>
      </c>
      <c r="E37" s="8">
        <f>CategoriesScored!E35</f>
        <v>61.555949847214166</v>
      </c>
      <c r="F37" s="8">
        <f>CategoriesScored!F35</f>
        <v>62.946944353425792</v>
      </c>
      <c r="G37" s="8">
        <f t="shared" si="0"/>
        <v>36</v>
      </c>
      <c r="H37" s="8">
        <f t="shared" si="1"/>
        <v>21</v>
      </c>
      <c r="I37" s="8">
        <f t="shared" si="2"/>
        <v>20</v>
      </c>
      <c r="J37" s="8">
        <f t="shared" si="3"/>
        <v>21</v>
      </c>
      <c r="K37" s="8">
        <f t="shared" si="4"/>
        <v>32</v>
      </c>
      <c r="L37" s="8">
        <f t="shared" si="5"/>
        <v>58.22895328237658</v>
      </c>
      <c r="M37" s="8">
        <f t="shared" si="6"/>
        <v>33</v>
      </c>
      <c r="N37">
        <f>(Categories!B36+Categories!C36+Categories!D36+Categories!E36+Categories!F36)/5</f>
        <v>-0.25962290691690681</v>
      </c>
    </row>
    <row r="38" spans="1:14" x14ac:dyDescent="0.3">
      <c r="A38" s="6" t="str">
        <f>RawData!A36</f>
        <v>Sweden</v>
      </c>
      <c r="B38" s="8">
        <f>CategoriesScored!B36</f>
        <v>75.301783818761848</v>
      </c>
      <c r="C38" s="8">
        <f>CategoriesScored!C36</f>
        <v>50.772969021835138</v>
      </c>
      <c r="D38" s="8">
        <f>CategoriesScored!D36</f>
        <v>75.822822434905135</v>
      </c>
      <c r="E38" s="8">
        <f>CategoriesScored!E36</f>
        <v>62.815642667138185</v>
      </c>
      <c r="F38" s="8">
        <f>CategoriesScored!F36</f>
        <v>80.277403473077271</v>
      </c>
      <c r="G38" s="8">
        <f t="shared" si="0"/>
        <v>6</v>
      </c>
      <c r="H38" s="8">
        <f t="shared" si="1"/>
        <v>26</v>
      </c>
      <c r="I38" s="8">
        <f t="shared" si="2"/>
        <v>8</v>
      </c>
      <c r="J38" s="8">
        <f t="shared" si="3"/>
        <v>19</v>
      </c>
      <c r="K38" s="8">
        <f t="shared" si="4"/>
        <v>13</v>
      </c>
      <c r="L38" s="8">
        <f t="shared" si="5"/>
        <v>76.100552242949888</v>
      </c>
      <c r="M38" s="8">
        <f t="shared" si="6"/>
        <v>11</v>
      </c>
      <c r="N38">
        <f>(Categories!B37+Categories!C37+Categories!D37+Categories!E37+Categories!F37)/5</f>
        <v>0.13082838404885938</v>
      </c>
    </row>
    <row r="39" spans="1:14" x14ac:dyDescent="0.3">
      <c r="A39" s="6" t="str">
        <f>RawData!A37</f>
        <v>Slovenia</v>
      </c>
      <c r="B39" s="8">
        <f>CategoriesScored!B37</f>
        <v>68.41450648622002</v>
      </c>
      <c r="C39" s="8">
        <f>CategoriesScored!C37</f>
        <v>45.41909926265236</v>
      </c>
      <c r="D39" s="8">
        <f>CategoriesScored!D37</f>
        <v>54.504577987211952</v>
      </c>
      <c r="E39" s="8">
        <f>CategoriesScored!E37</f>
        <v>76.54202636798658</v>
      </c>
      <c r="F39" s="8">
        <f>CategoriesScored!F37</f>
        <v>70.039220441458681</v>
      </c>
      <c r="G39" s="8">
        <f t="shared" si="0"/>
        <v>12</v>
      </c>
      <c r="H39" s="8">
        <f t="shared" si="1"/>
        <v>29</v>
      </c>
      <c r="I39" s="8">
        <f t="shared" si="2"/>
        <v>26</v>
      </c>
      <c r="J39" s="8">
        <f t="shared" si="3"/>
        <v>11</v>
      </c>
      <c r="K39" s="8">
        <f t="shared" si="4"/>
        <v>21</v>
      </c>
      <c r="L39" s="8">
        <f t="shared" si="5"/>
        <v>66.788334955599652</v>
      </c>
      <c r="M39" s="8">
        <f t="shared" si="6"/>
        <v>25</v>
      </c>
      <c r="N39">
        <f>(Categories!B38+Categories!C38+Categories!D38+Categories!E38+Categories!F38)/5</f>
        <v>-7.2621081755569653E-2</v>
      </c>
    </row>
    <row r="40" spans="1:14" x14ac:dyDescent="0.3">
      <c r="A40" s="6" t="str">
        <f>RawData!A38</f>
        <v>Slovak Republic</v>
      </c>
      <c r="B40" s="8">
        <f>CategoriesScored!B38</f>
        <v>60.327997706908498</v>
      </c>
      <c r="C40" s="8">
        <f>CategoriesScored!C38</f>
        <v>38.731642408913928</v>
      </c>
      <c r="D40" s="8">
        <f>CategoriesScored!D38</f>
        <v>74.996690284115459</v>
      </c>
      <c r="E40" s="8">
        <f>CategoriesScored!E38</f>
        <v>100</v>
      </c>
      <c r="F40" s="8">
        <f>CategoriesScored!F38</f>
        <v>69.090549284778845</v>
      </c>
      <c r="G40" s="8">
        <f t="shared" si="0"/>
        <v>24</v>
      </c>
      <c r="H40" s="8">
        <f t="shared" si="1"/>
        <v>34</v>
      </c>
      <c r="I40" s="8">
        <f t="shared" si="2"/>
        <v>9</v>
      </c>
      <c r="J40" s="8">
        <f t="shared" si="3"/>
        <v>1</v>
      </c>
      <c r="K40" s="8">
        <f t="shared" si="4"/>
        <v>24</v>
      </c>
      <c r="L40" s="8">
        <f t="shared" si="5"/>
        <v>73.307153753621719</v>
      </c>
      <c r="M40" s="8">
        <f t="shared" si="6"/>
        <v>14</v>
      </c>
      <c r="N40">
        <f>(Categories!B39+Categories!C39+Categories!D39+Categories!E39+Categories!F39)/5</f>
        <v>6.9799370990420884E-2</v>
      </c>
    </row>
    <row r="41" spans="1:14" x14ac:dyDescent="0.3">
      <c r="A41" s="6" t="str">
        <f>RawData!A39</f>
        <v>Turkey</v>
      </c>
      <c r="B41" s="8">
        <f>CategoriesScored!B39</f>
        <v>61.876357881303704</v>
      </c>
      <c r="C41" s="8">
        <f>CategoriesScored!C39</f>
        <v>57.596539585117576</v>
      </c>
      <c r="D41" s="8">
        <f>CategoriesScored!D39</f>
        <v>58.710655717258973</v>
      </c>
      <c r="E41" s="8">
        <f>CategoriesScored!E39</f>
        <v>86.760676397245092</v>
      </c>
      <c r="F41" s="8">
        <f>CategoriesScored!F39</f>
        <v>85.646365911093952</v>
      </c>
      <c r="G41" s="8">
        <f t="shared" si="0"/>
        <v>21</v>
      </c>
      <c r="H41" s="8">
        <f t="shared" si="1"/>
        <v>17</v>
      </c>
      <c r="I41" s="8">
        <f t="shared" si="2"/>
        <v>24</v>
      </c>
      <c r="J41" s="8">
        <f t="shared" si="3"/>
        <v>5</v>
      </c>
      <c r="K41" s="8">
        <f t="shared" si="4"/>
        <v>8</v>
      </c>
      <c r="L41" s="8">
        <f t="shared" si="5"/>
        <v>75.857236499434137</v>
      </c>
      <c r="M41" s="8">
        <f t="shared" si="6"/>
        <v>12</v>
      </c>
      <c r="N41">
        <f>(Categories!B40+Categories!C40+Categories!D40+Categories!E40+Categories!F40)/5</f>
        <v>0.12551252247555481</v>
      </c>
    </row>
    <row r="42" spans="1:14" x14ac:dyDescent="0.3">
      <c r="A42" s="6" t="str">
        <f>RawData!A40</f>
        <v>United States</v>
      </c>
      <c r="B42" s="8">
        <f>CategoriesScored!B40</f>
        <v>71.010113293502002</v>
      </c>
      <c r="C42" s="8">
        <f>CategoriesScored!C40</f>
        <v>91.508201916126964</v>
      </c>
      <c r="D42" s="8">
        <f>CategoriesScored!D40</f>
        <v>47.594818436776855</v>
      </c>
      <c r="E42" s="8">
        <f>CategoriesScored!E40</f>
        <v>63.354737712022256</v>
      </c>
      <c r="F42" s="8">
        <f>CategoriesScored!F40</f>
        <v>55.097081883992225</v>
      </c>
      <c r="G42" s="8">
        <f t="shared" si="0"/>
        <v>9</v>
      </c>
      <c r="H42" s="8">
        <f t="shared" si="1"/>
        <v>4</v>
      </c>
      <c r="I42" s="8">
        <f t="shared" si="2"/>
        <v>30</v>
      </c>
      <c r="J42" s="8">
        <f t="shared" si="3"/>
        <v>17</v>
      </c>
      <c r="K42" s="8">
        <f t="shared" si="4"/>
        <v>35</v>
      </c>
      <c r="L42" s="8">
        <f t="shared" si="5"/>
        <v>72.477950819137774</v>
      </c>
      <c r="M42" s="8">
        <f t="shared" si="6"/>
        <v>15</v>
      </c>
      <c r="N42">
        <f>(Categories!B41+Categories!C41+Categories!D41+Categories!E41+Categories!F41)/5</f>
        <v>5.1683288766546112E-2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RawData</vt:lpstr>
      <vt:lpstr>AbsValues</vt:lpstr>
      <vt:lpstr>ZScores</vt:lpstr>
      <vt:lpstr>Subcategories</vt:lpstr>
      <vt:lpstr>SubcategoriesScored</vt:lpstr>
      <vt:lpstr>Categories</vt:lpstr>
      <vt:lpstr>CategoriesScored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partha bera</cp:lastModifiedBy>
  <dcterms:created xsi:type="dcterms:W3CDTF">2026-09-01T17:18:55Z</dcterms:created>
  <dcterms:modified xsi:type="dcterms:W3CDTF">2026-09-01T17:27:36Z</dcterms:modified>
</cp:coreProperties>
</file>